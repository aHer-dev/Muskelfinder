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ntere Extremität" sheetId="1" state="visible" r:id="rId1"/>
    <sheet xmlns:r="http://schemas.openxmlformats.org/officeDocument/2006/relationships" name="Legende &amp; Hinweise" sheetId="2" state="visible" r:id="rId2"/>
    <sheet xmlns:r="http://schemas.openxmlformats.org/officeDocument/2006/relationships" name="Statistik" sheetId="3" state="visible" r:id="rId3"/>
    <sheet xmlns:r="http://schemas.openxmlformats.org/officeDocument/2006/relationships" name="Leicht-Modus" sheetId="4" state="visible" r:id="rId4"/>
  </sheets>
  <definedNames>
    <definedName name="_xlnm._FilterDatabase" localSheetId="0" hidden="1">'Untere Extremität'!$A$2:$AA$2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i val="1"/>
      <color rgb="FF666666"/>
      <sz val="8"/>
    </font>
    <font>
      <name val="Arial"/>
      <sz val="9"/>
    </font>
    <font>
      <name val="Arial"/>
      <sz val="10"/>
    </font>
    <font>
      <name val="Arial"/>
      <color rgb="FF000000"/>
      <sz val="10"/>
    </font>
    <font>
      <name val="Arial"/>
      <b val="1"/>
      <sz val="12"/>
    </font>
    <font>
      <name val="Arial"/>
      <b val="1"/>
      <sz val="11"/>
    </font>
    <font>
      <name val="Arial"/>
      <color rgb="FF000000"/>
      <sz val="9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color rgb="FF666666"/>
      <sz val="9"/>
      <scheme val="minor"/>
    </font>
  </fonts>
  <fills count="24">
    <fill>
      <patternFill/>
    </fill>
    <fill>
      <patternFill patternType="gray125"/>
    </fill>
    <fill>
      <patternFill patternType="solid">
        <fgColor rgb="FF1A5276"/>
      </patternFill>
    </fill>
    <fill>
      <patternFill patternType="solid">
        <fgColor rgb="FF1D6A9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7D6608"/>
      </patternFill>
    </fill>
    <fill>
      <patternFill patternType="solid">
        <fgColor rgb="FF2C3E50"/>
      </patternFill>
    </fill>
    <fill>
      <patternFill patternType="solid">
        <fgColor rgb="FFF2F3F4"/>
      </patternFill>
    </fill>
    <fill>
      <patternFill patternType="solid">
        <fgColor rgb="FF7D3C98"/>
      </patternFill>
    </fill>
    <fill>
      <patternFill patternType="solid">
        <fgColor rgb="FFE8DAEF"/>
      </patternFill>
    </fill>
    <fill>
      <patternFill patternType="solid">
        <fgColor rgb="FFD4E6F1"/>
      </patternFill>
    </fill>
    <fill>
      <patternFill patternType="solid">
        <fgColor rgb="FF1E8449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AFAF1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vertical="top" wrapText="1"/>
    </xf>
    <xf numFmtId="0" fontId="4" fillId="11" borderId="1" applyAlignment="1" pivotButton="0" quotePrefix="0" xfId="0">
      <alignment vertical="top"/>
    </xf>
    <xf numFmtId="0" fontId="4" fillId="12" borderId="1" applyAlignment="1" pivotButton="0" quotePrefix="0" xfId="0">
      <alignment vertical="top"/>
    </xf>
    <xf numFmtId="0" fontId="1" fillId="8" borderId="0" pivotButton="0" quotePrefix="0" xfId="0"/>
    <xf numFmtId="0" fontId="5" fillId="8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13" borderId="0" pivotButton="0" quotePrefix="0" xfId="0"/>
    <xf numFmtId="0" fontId="9" fillId="14" borderId="1" pivotButton="0" quotePrefix="0" xfId="0"/>
    <xf numFmtId="0" fontId="9" fillId="14" borderId="2" pivotButton="0" quotePrefix="0" xfId="0"/>
    <xf numFmtId="0" fontId="10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vertical="top" wrapText="1"/>
    </xf>
    <xf numFmtId="0" fontId="0" fillId="19" borderId="0" pivotButton="0" quotePrefix="0" xfId="0"/>
    <xf numFmtId="0" fontId="0" fillId="20" borderId="0" pivotButton="0" quotePrefix="0" xfId="0"/>
    <xf numFmtId="0" fontId="0" fillId="20" borderId="0" applyAlignment="1" pivotButton="0" quotePrefix="0" xfId="0">
      <alignment wrapText="1"/>
    </xf>
    <xf numFmtId="0" fontId="0" fillId="21" borderId="0" pivotButton="0" quotePrefix="0" xfId="0"/>
    <xf numFmtId="0" fontId="0" fillId="22" borderId="0" pivotButton="0" quotePrefix="0" xfId="0"/>
    <xf numFmtId="0" fontId="0" fillId="22" borderId="0" applyAlignment="1" pivotButton="0" quotePrefix="0" xfId="0">
      <alignment wrapText="1"/>
    </xf>
    <xf numFmtId="0" fontId="0" fillId="23" borderId="0" pivotButton="0" quotePrefix="0" xfId="0"/>
    <xf numFmtId="0" fontId="0" fillId="23" borderId="0" applyAlignment="1" pivotButton="0" quotePrefix="0" xfId="0">
      <alignment wrapText="1"/>
    </xf>
    <xf numFmtId="0" fontId="0" fillId="14" borderId="0" pivotButton="0" quotePrefix="0" xfId="0"/>
    <xf numFmtId="0" fontId="0" fillId="14" borderId="0" applyAlignment="1" pivotButton="0" quotePrefix="0" xfId="0">
      <alignment wrapText="1"/>
    </xf>
    <xf numFmtId="0" fontId="11" fillId="15" borderId="0" applyAlignment="1" pivotButton="0" quotePrefix="0" xfId="0">
      <alignment horizontal="center" vertical="center" wrapText="1"/>
    </xf>
    <xf numFmtId="0" fontId="10" fillId="18" borderId="0" applyAlignment="1" pivotButton="0" quotePrefix="0" xfId="0">
      <alignment horizontal="center" vertical="center"/>
    </xf>
    <xf numFmtId="0" fontId="2" fillId="1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19" borderId="0" applyAlignment="1" pivotButton="0" quotePrefix="0" xfId="0">
      <alignment wrapText="1"/>
    </xf>
    <xf numFmtId="0" fontId="0" fillId="21" borderId="0" applyAlignment="1" pivotButton="0" quotePrefix="0" xfId="0">
      <alignment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9"/>
  <sheetViews>
    <sheetView tabSelected="1" workbookViewId="0">
      <pane ySplit="3" topLeftCell="A31" activePane="bottomLeft" state="frozen"/>
      <selection pane="bottomLeft" activeCell="D38" sqref="D38"/>
    </sheetView>
  </sheetViews>
  <sheetFormatPr baseColWidth="10" defaultColWidth="9.109375" defaultRowHeight="14.4"/>
  <cols>
    <col width="28" customWidth="1" style="30" min="1" max="1"/>
    <col width="18" customWidth="1" style="30" min="2" max="2"/>
    <col width="13" customWidth="1" style="30" min="3" max="3"/>
    <col width="28" customWidth="1" style="30" min="4" max="4"/>
    <col width="9" customWidth="1" style="30" min="5" max="5"/>
    <col width="57.109375" customWidth="1" style="30" min="6" max="6"/>
    <col width="42.88671875" customWidth="1" style="30" min="7" max="7"/>
    <col width="40.5546875" customWidth="1" style="30" min="8" max="8"/>
    <col width="70.109375" customWidth="1" style="30" min="9" max="9"/>
    <col width="32" customWidth="1" style="30" min="10" max="10"/>
    <col width="28" customWidth="1" style="30" min="11" max="11"/>
    <col width="18" customWidth="1" style="30" min="12" max="12"/>
    <col width="119.44140625" customWidth="1" style="30" min="13" max="13"/>
    <col width="18" customWidth="1" style="30" min="14" max="14"/>
    <col width="38" customWidth="1" style="30" min="15" max="15"/>
    <col width="18" customWidth="1" style="30" min="16" max="16"/>
    <col width="38" customWidth="1" style="30" min="17" max="17"/>
    <col width="18" customWidth="1" style="30" min="18" max="18"/>
    <col width="38" customWidth="1" style="30" min="19" max="22"/>
    <col width="147.21875" customWidth="1" style="30" min="23" max="23"/>
    <col width="22" customWidth="1" style="30" min="24" max="24"/>
    <col width="18" customWidth="1" style="30" min="25" max="25"/>
    <col width="38" customWidth="1" style="30" min="26" max="27"/>
  </cols>
  <sheetData>
    <row r="1" ht="21.9" customHeight="1" s="30">
      <c r="A1" s="31" t="inlineStr">
        <is>
          <t>Grunddaten</t>
        </is>
      </c>
      <c r="H1" s="36" t="inlineStr">
        <is>
          <t>Anatomie</t>
        </is>
      </c>
      <c r="L1" s="34" t="inlineStr">
        <is>
          <t>Ursprung</t>
        </is>
      </c>
      <c r="T1" s="32" t="inlineStr">
        <is>
          <t>Ansatz</t>
        </is>
      </c>
      <c r="W1" s="1" t="inlineStr">
        <is>
          <t>Funktion</t>
        </is>
      </c>
      <c r="X1" s="35" t="inlineStr">
        <is>
          <t>Lizenz</t>
        </is>
      </c>
    </row>
    <row r="2" ht="27.9" customHeight="1" s="30">
      <c r="A2" s="2" t="inlineStr">
        <is>
          <t>Name</t>
        </is>
      </c>
      <c r="B2" s="2" t="inlineStr">
        <is>
          <t>region</t>
        </is>
      </c>
      <c r="C2" s="2" t="inlineStr">
        <is>
          <t>subgroup</t>
        </is>
      </c>
      <c r="D2" s="2" t="inlineStr">
        <is>
          <t>tags</t>
        </is>
      </c>
      <c r="E2" s="2" t="inlineStr">
        <is>
          <t>difficulty</t>
        </is>
      </c>
      <c r="F2" s="2" t="inlineStr">
        <is>
          <t>clinicalNote</t>
        </is>
      </c>
      <c r="G2" s="2" t="inlineStr">
        <is>
          <t>palpation</t>
        </is>
      </c>
      <c r="H2" s="2" t="inlineStr">
        <is>
          <t>Joints</t>
        </is>
      </c>
      <c r="I2" s="2" t="inlineStr">
        <is>
          <t>Movements</t>
        </is>
      </c>
      <c r="J2" s="2" t="inlineStr">
        <is>
          <t>Segments</t>
        </is>
      </c>
      <c r="K2" s="2" t="inlineStr">
        <is>
          <t>Image</t>
        </is>
      </c>
      <c r="L2" s="2" t="inlineStr">
        <is>
          <t>Origin_Part_1</t>
        </is>
      </c>
      <c r="M2" s="2" t="inlineStr">
        <is>
          <t>Origin_Location_1</t>
        </is>
      </c>
      <c r="N2" s="2" t="inlineStr">
        <is>
          <t>Origin_Part_2</t>
        </is>
      </c>
      <c r="O2" s="2" t="inlineStr">
        <is>
          <t>Origin_Location_2</t>
        </is>
      </c>
      <c r="P2" s="2" t="inlineStr">
        <is>
          <t>Origin_Part_3</t>
        </is>
      </c>
      <c r="Q2" s="2" t="inlineStr">
        <is>
          <t>Origin_Location_3</t>
        </is>
      </c>
      <c r="R2" s="2" t="inlineStr">
        <is>
          <t>Origin_Part_4</t>
        </is>
      </c>
      <c r="S2" s="2" t="inlineStr">
        <is>
          <t>Origin_Location_4</t>
        </is>
      </c>
      <c r="T2" s="2" t="inlineStr">
        <is>
          <t>Insertion_1</t>
        </is>
      </c>
      <c r="U2" s="2" t="inlineStr">
        <is>
          <t>Insertion_2</t>
        </is>
      </c>
      <c r="V2" s="2" t="inlineStr">
        <is>
          <t>Insertion_3</t>
        </is>
      </c>
      <c r="W2" s="2" t="inlineStr">
        <is>
          <t>Function</t>
        </is>
      </c>
      <c r="X2" s="2" t="inlineStr">
        <is>
          <t>Attribution_Author</t>
        </is>
      </c>
      <c r="Y2" s="2" t="inlineStr">
        <is>
          <t>Attribution_License</t>
        </is>
      </c>
      <c r="Z2" s="2" t="inlineStr">
        <is>
          <t>Attribution_Source</t>
        </is>
      </c>
      <c r="AA2" s="2" t="inlineStr">
        <is>
          <t>Image_Source</t>
        </is>
      </c>
    </row>
    <row r="3" ht="32.1" customHeight="1" s="30">
      <c r="A3" s="3" t="inlineStr">
        <is>
          <t>Lateinischer Muskelname</t>
        </is>
      </c>
      <c r="B3" s="3" t="inlineStr">
        <is>
          <t>untere-extremitaet</t>
        </is>
      </c>
      <c r="C3" s="3" t="inlineStr">
        <is>
          <t>huefte / knie / fuss</t>
        </is>
      </c>
      <c r="D3" s="3" t="inlineStr">
        <is>
          <t>kommagetrennt, keine Leerzeichen</t>
        </is>
      </c>
      <c r="E3" s="3" t="inlineStr">
        <is>
          <t>1=leicht 2=mittel 3=schwer</t>
        </is>
      </c>
      <c r="F3" s="3" t="inlineStr">
        <is>
          <t>Klinischer Bezug</t>
        </is>
      </c>
      <c r="G3" s="3" t="inlineStr">
        <is>
          <t>Wo und wie tasten</t>
        </is>
      </c>
      <c r="H3" s="3" t="inlineStr">
        <is>
          <t>z.B. Art. coxae, Art. genus</t>
        </is>
      </c>
      <c r="I3" s="3" t="inlineStr">
        <is>
          <t>z.B. Flexion, Abduktion</t>
        </is>
      </c>
      <c r="J3" s="3" t="inlineStr">
        <is>
          <t>z.B. N. femoralis, L2, L3</t>
        </is>
      </c>
      <c r="K3" s="3" t="inlineStr">
        <is>
          <t>Dateiname.png (ohne Pfad)</t>
        </is>
      </c>
      <c r="L3" s="3" t="inlineStr">
        <is>
          <t>Teil-Name (leer = einteilig)</t>
        </is>
      </c>
      <c r="M3" s="3" t="inlineStr">
        <is>
          <t>Anatomische Beschreibung</t>
        </is>
      </c>
      <c r="N3" s="3" t="inlineStr">
        <is>
          <t>Teil 2 Name</t>
        </is>
      </c>
      <c r="O3" s="3" t="inlineStr">
        <is>
          <t>Beschreibung 2</t>
        </is>
      </c>
      <c r="P3" s="3" t="inlineStr">
        <is>
          <t>Teil 3 Name</t>
        </is>
      </c>
      <c r="Q3" s="3" t="inlineStr">
        <is>
          <t>Beschreibung 3</t>
        </is>
      </c>
      <c r="R3" s="3" t="inlineStr">
        <is>
          <t>Teil 4 Name</t>
        </is>
      </c>
      <c r="S3" s="3" t="inlineStr">
        <is>
          <t>Beschreibung 4</t>
        </is>
      </c>
      <c r="T3" s="3" t="inlineStr">
        <is>
          <t>Hauptansatz</t>
        </is>
      </c>
      <c r="U3" s="3" t="inlineStr">
        <is>
          <t>Zusatz 2</t>
        </is>
      </c>
      <c r="V3" s="3" t="inlineStr">
        <is>
          <t>Zusatz 3</t>
        </is>
      </c>
      <c r="W3" s="3" t="inlineStr">
        <is>
          <t>Funktionsbeschreibung</t>
        </is>
      </c>
      <c r="X3" s="3" t="inlineStr">
        <is>
          <t>Bildautor</t>
        </is>
      </c>
      <c r="Y3" s="3" t="inlineStr">
        <is>
          <t>Lizenzname</t>
        </is>
      </c>
      <c r="Z3" s="3" t="inlineStr">
        <is>
          <t>Lizenz-URL</t>
        </is>
      </c>
      <c r="AA3" s="3" t="inlineStr">
        <is>
          <t>Bild-URL</t>
        </is>
      </c>
    </row>
    <row r="4" ht="15.9" customHeight="1" s="30">
      <c r="A4" s="29" t="inlineStr">
        <is>
          <t>── HÜFTE ──</t>
        </is>
      </c>
    </row>
    <row r="5" ht="15.9" customHeight="1" s="30">
      <c r="A5" s="4" t="inlineStr">
        <is>
          <t>M. psoas minor</t>
        </is>
      </c>
      <c r="B5" s="4" t="inlineStr">
        <is>
          <t>untere-extremitaet</t>
        </is>
      </c>
      <c r="C5" s="4" t="inlineStr">
        <is>
          <t>huefte</t>
        </is>
      </c>
      <c r="D5" s="4" t="inlineStr">
        <is>
          <t>huefte,beckenkipper,pelvispinal</t>
        </is>
      </c>
      <c r="E5" s="4" t="inlineStr">
        <is>
          <t>3</t>
        </is>
      </c>
      <c r="F5" s="4" t="inlineStr">
        <is>
          <t>Dieser Muskel fehlt bei etwa 10 % der Menschen und ist dann funktionell durch den Psoas major kompensiert – klinisch meist bedeutungslos, kann jedoch bei bildgebenden Verfahren als Zufallsbefund auffallen</t>
        </is>
      </c>
      <c r="G5" s="4" t="inlineStr">
        <is>
          <t>Aufgrund seiner retroperitonealen, tief im Bauchraum gelegenen Position ist er der palpatorischen Untersuchung nicht zugänglich</t>
        </is>
      </c>
      <c r="H5" s="4" t="inlineStr">
        <is>
          <t>Becken</t>
        </is>
      </c>
      <c r="I5" s="4" t="inlineStr">
        <is>
          <t>Beckenkippung rückwärts</t>
        </is>
      </c>
      <c r="J5" s="4" t="inlineStr">
        <is>
          <t>Plexus lumbalis, L1</t>
        </is>
      </c>
      <c r="K5" s="4" t="n"/>
      <c r="L5" s="4" t="n"/>
      <c r="M5" s="4" t="inlineStr">
        <is>
          <t>Wirbelkörper Th12/L1</t>
        </is>
      </c>
      <c r="N5" s="4" t="n"/>
      <c r="O5" s="4" t="n"/>
      <c r="P5" s="4" t="n"/>
      <c r="Q5" s="4" t="n"/>
      <c r="R5" s="4" t="n"/>
      <c r="S5" s="4" t="n"/>
      <c r="T5" s="4" t="inlineStr">
        <is>
          <t>Eminentia iliopubica</t>
        </is>
      </c>
      <c r="U5" s="4" t="n"/>
      <c r="V5" s="4" t="n"/>
      <c r="W5" s="4" t="inlineStr">
        <is>
          <t>Kippt das Becken nach dorsal (Retroversion) und unterstützt die Stabilisierung der Lendenwirbelsäule in Streckstellung</t>
        </is>
      </c>
      <c r="X5" s="4" t="inlineStr">
        <is>
          <t>BodyParts3D, © DBCLS</t>
        </is>
      </c>
      <c r="Y5" s="4" t="inlineStr">
        <is>
          <t>CC BY 4.0</t>
        </is>
      </c>
      <c r="Z5" s="4" t="inlineStr">
        <is>
          <t>https://creativecommons.org/licenses/by/4.0/</t>
        </is>
      </c>
      <c r="AA5" s="4" t="n"/>
    </row>
    <row r="6" ht="15.9" customHeight="1" s="30">
      <c r="A6" s="4" t="inlineStr">
        <is>
          <t>M. psoas major</t>
        </is>
      </c>
      <c r="B6" s="4" t="inlineStr">
        <is>
          <t>untere-extremitaet</t>
        </is>
      </c>
      <c r="C6" s="4" t="inlineStr">
        <is>
          <t>huefte</t>
        </is>
      </c>
      <c r="D6" s="4" t="inlineStr">
        <is>
          <t>huefte,beuger,spinofemoral</t>
        </is>
      </c>
      <c r="E6" s="4" t="inlineStr">
        <is>
          <t>1</t>
        </is>
      </c>
      <c r="F6" s="4" t="inlineStr">
        <is>
          <t>Verkürzungen entstehen häufig durch langes Sitzen; klinisch relevant bei LWS-Beschwerden, Hyperlordose und dem sog. Psoassyndrom mit Leisten- und Rückenschmerzen</t>
        </is>
      </c>
      <c r="G6" s="4" t="inlineStr">
        <is>
          <t>Zugänglich in der Tiefe der Leistenregion lateral der Femoralgefäße; aufgrund seiner Lage unterhalb des Leistenbandes schwer zu isolieren</t>
        </is>
      </c>
      <c r="H6" s="4" t="inlineStr">
        <is>
          <t>Art. coxae, LWS</t>
        </is>
      </c>
      <c r="I6" s="4" t="inlineStr">
        <is>
          <t>Flexion, Adduktion, Außenrotation</t>
        </is>
      </c>
      <c r="J6" s="4" t="inlineStr">
        <is>
          <t>Plexus lumbalis, L1, L2, L3</t>
        </is>
      </c>
      <c r="K6" s="4" t="n"/>
      <c r="L6" s="4" t="n"/>
      <c r="M6" s="4" t="inlineStr">
        <is>
          <t>Wirbelkörper (BWK 12 / LWK 1–4) und Disci intervertebrales; Procc. costales LWK 1–5 (tiefer Anteil)</t>
        </is>
      </c>
      <c r="N6" s="4" t="n"/>
      <c r="O6" s="4" t="n"/>
      <c r="P6" s="4" t="n"/>
      <c r="Q6" s="4" t="n"/>
      <c r="R6" s="4" t="n"/>
      <c r="S6" s="4" t="n"/>
      <c r="T6" s="4" t="inlineStr">
        <is>
          <t>Trochanter minor des Femur</t>
        </is>
      </c>
      <c r="U6" s="4" t="n"/>
      <c r="V6" s="4" t="n"/>
      <c r="W6" s="4" t="inlineStr">
        <is>
          <t>Beugt die Hüfte und adduziert den Oberschenkel; bei fixiertem Femur verstärkt er die Lendenlordose; wirkt zudem als Außenrotator im Hüftgelenk</t>
        </is>
      </c>
      <c r="X6" s="4" t="inlineStr">
        <is>
          <t>BodyParts3D, © DBCLS</t>
        </is>
      </c>
      <c r="Y6" s="4" t="inlineStr">
        <is>
          <t>CC BY 4.0</t>
        </is>
      </c>
      <c r="Z6" s="4" t="inlineStr">
        <is>
          <t>https://creativecommons.org/licenses/by/4.0/</t>
        </is>
      </c>
      <c r="AA6" s="4" t="n"/>
    </row>
    <row r="7" ht="15.9" customHeight="1" s="30">
      <c r="A7" s="4" t="inlineStr">
        <is>
          <t>M. iliacus</t>
        </is>
      </c>
      <c r="B7" s="4" t="inlineStr">
        <is>
          <t>untere-extremitaet</t>
        </is>
      </c>
      <c r="C7" s="4" t="inlineStr">
        <is>
          <t>huefte</t>
        </is>
      </c>
      <c r="D7" s="4" t="inlineStr">
        <is>
          <t>huefte,beuger,pelvifemoral</t>
        </is>
      </c>
      <c r="E7" s="4" t="inlineStr">
        <is>
          <t>1</t>
        </is>
      </c>
      <c r="F7" s="4" t="inlineStr">
        <is>
          <t>Bei prolongiertem Sitzen häufig verkürzt, was zu einer Hüftbeugekontraktur und Beckenkippung nach vorne führen kann; relevant bei Hüftgelenkserkrankungen</t>
        </is>
      </c>
      <c r="G7" s="4" t="inlineStr">
        <is>
          <t>Unterhalb des Leistenbandes in der Leistenregion zu tasten; fühlt sich als weicher, druckempfindlicher Wulst lateral der Femoralgefäße an</t>
        </is>
      </c>
      <c r="H7" s="4" t="inlineStr">
        <is>
          <t>Art. coxae</t>
        </is>
      </c>
      <c r="I7" s="4" t="inlineStr">
        <is>
          <t>Flexion, Adduktion, Außenrotation</t>
        </is>
      </c>
      <c r="J7" s="4" t="inlineStr">
        <is>
          <t>Plexus lumbalis, L2, L3</t>
        </is>
      </c>
      <c r="K7" s="4" t="n"/>
      <c r="L7" s="4" t="n"/>
      <c r="M7" s="4" t="inlineStr">
        <is>
          <t>Fossa iliaca des Ileums und Spina iliaca anterior inferior</t>
        </is>
      </c>
      <c r="N7" s="4" t="n"/>
      <c r="O7" s="4" t="n"/>
      <c r="P7" s="4" t="n"/>
      <c r="Q7" s="4" t="n"/>
      <c r="R7" s="4" t="n"/>
      <c r="S7" s="4" t="n"/>
      <c r="T7" s="4" t="inlineStr">
        <is>
          <t>Trochanter minor des Femur</t>
        </is>
      </c>
      <c r="U7" s="4" t="n"/>
      <c r="V7" s="4" t="n"/>
      <c r="W7" s="4" t="inlineStr">
        <is>
          <t>Flektiert das Hüftgelenk und rotiert den Oberschenkel nach außen; bei feststehendem Bein kippt er das Ilium nach ventral</t>
        </is>
      </c>
      <c r="X7" s="4" t="inlineStr">
        <is>
          <t>BodyParts3D, © DBCLS</t>
        </is>
      </c>
      <c r="Y7" s="4" t="inlineStr">
        <is>
          <t>CC BY 4.0</t>
        </is>
      </c>
      <c r="Z7" s="4" t="inlineStr">
        <is>
          <t>https://creativecommons.org/licenses/by/4.0/</t>
        </is>
      </c>
      <c r="AA7" s="4" t="n"/>
    </row>
    <row r="8" ht="15.9" customHeight="1" s="30">
      <c r="A8" s="4" t="inlineStr">
        <is>
          <t>M. gluteus maximus</t>
        </is>
      </c>
      <c r="B8" s="4" t="inlineStr">
        <is>
          <t>untere-extremitaet</t>
        </is>
      </c>
      <c r="C8" s="4" t="inlineStr">
        <is>
          <t>huefte</t>
        </is>
      </c>
      <c r="D8" s="4" t="inlineStr">
        <is>
          <t>huefte,strecker,aussenrotator,gesaess</t>
        </is>
      </c>
      <c r="E8" s="4" t="inlineStr">
        <is>
          <t>1</t>
        </is>
      </c>
      <c r="F8" s="4" t="inlineStr">
        <is>
          <t>Insuffizienz führt zu positivem Trendelenburg-Zeichen; spielt eine wichtige Rolle beim Treppensteigen, Aufstehen und beim Hingleiten ins Hohlkreuz</t>
        </is>
      </c>
      <c r="G8" s="4" t="inlineStr">
        <is>
          <t>In der gesamten Gesäßregion gut palpierbar; bei angespanntem Muskel (Streckung gegen Widerstand) hebt er sich deutlich vom umliegenden Gewebe ab</t>
        </is>
      </c>
      <c r="H8" s="4" t="inlineStr">
        <is>
          <t>Art. coxae</t>
        </is>
      </c>
      <c r="I8" s="4" t="inlineStr">
        <is>
          <t>Extension, Außenrotation, Abduktion</t>
        </is>
      </c>
      <c r="J8" s="4" t="inlineStr">
        <is>
          <t>N. gluteus inferior, L5, S1, S2</t>
        </is>
      </c>
      <c r="K8" s="4" t="n"/>
      <c r="L8" s="4" t="inlineStr">
        <is>
          <t>Tiefer Teil</t>
        </is>
      </c>
      <c r="M8" s="4" t="inlineStr">
        <is>
          <t>Ala ossis ilii (Facies glutealis), Lig. sacrotuberale</t>
        </is>
      </c>
      <c r="N8" s="4" t="inlineStr">
        <is>
          <t>Oberflächlicher Teil</t>
        </is>
      </c>
      <c r="O8" s="4" t="inlineStr">
        <is>
          <t>Fascia thoracolumbalis, Crista iliaca, SIPS, dorsale Fläche des Sacrums, Os coccygis</t>
        </is>
      </c>
      <c r="P8" s="4" t="n"/>
      <c r="Q8" s="4" t="n"/>
      <c r="R8" s="4" t="n"/>
      <c r="S8" s="4" t="n"/>
      <c r="T8" s="4" t="inlineStr">
        <is>
          <t>Tractus iliotibialis</t>
        </is>
      </c>
      <c r="U8" s="4" t="inlineStr">
        <is>
          <t>Tuberositas glutealis femoris</t>
        </is>
      </c>
      <c r="V8" s="4" t="n"/>
      <c r="W8" s="4" t="inlineStr">
        <is>
          <t>Hauptextensor des Hüftgelenks; dreht den Oberschenkel nach außen; die lateralen Anteile wirken zusätzlich als Abduktoren und spannen den Tractus iliotibialis</t>
        </is>
      </c>
      <c r="X8" s="4" t="inlineStr">
        <is>
          <t>BodyParts3D, © DBCLS</t>
        </is>
      </c>
      <c r="Y8" s="4" t="inlineStr">
        <is>
          <t>CC BY 4.0</t>
        </is>
      </c>
      <c r="Z8" s="4" t="inlineStr">
        <is>
          <t>https://creativecommons.org/licenses/by/4.0/</t>
        </is>
      </c>
      <c r="AA8" s="4" t="n"/>
    </row>
    <row r="9" ht="15.9" customHeight="1" s="30">
      <c r="A9" s="4" t="inlineStr">
        <is>
          <t>M. gluteus medius</t>
        </is>
      </c>
      <c r="B9" s="4" t="inlineStr">
        <is>
          <t>untere-extremitaet</t>
        </is>
      </c>
      <c r="C9" s="4" t="inlineStr">
        <is>
          <t>huefte</t>
        </is>
      </c>
      <c r="D9" s="4" t="inlineStr">
        <is>
          <t>huefte,abduktor,stabilisator</t>
        </is>
      </c>
      <c r="E9" s="4" t="inlineStr">
        <is>
          <t>1</t>
        </is>
      </c>
      <c r="F9" s="4" t="inlineStr">
        <is>
          <t>Insuffizienz führt zu positivem Trendelenburg-Zeichen mit Absinken des kontralateralen Beckens in der Standphase; häufige Ursache von Gangstörungen</t>
        </is>
      </c>
      <c r="G9" s="4" t="inlineStr">
        <is>
          <t>Lateral am Becken zwischen Crista iliaca und Trochanter major gut tastbar; die Muskelmasse ist seitlich der Hüfte deutlich abzugrenzen</t>
        </is>
      </c>
      <c r="H9" s="4" t="inlineStr">
        <is>
          <t>Art. coxae</t>
        </is>
      </c>
      <c r="I9" s="4" t="inlineStr">
        <is>
          <t>Abduktion, Flexion, Innenrotation, Extension, Außenrotation</t>
        </is>
      </c>
      <c r="J9" s="4" t="inlineStr">
        <is>
          <t>N. gluteus superior, L4, L5, S1</t>
        </is>
      </c>
      <c r="K9" s="4" t="n"/>
      <c r="L9" s="4" t="n"/>
      <c r="M9" s="4" t="inlineStr">
        <is>
          <t>Ala ossis ilii, Facies glutealis</t>
        </is>
      </c>
      <c r="N9" s="4" t="n"/>
      <c r="O9" s="4" t="n"/>
      <c r="P9" s="4" t="n"/>
      <c r="Q9" s="4" t="n"/>
      <c r="R9" s="4" t="n"/>
      <c r="S9" s="4" t="n"/>
      <c r="T9" s="4" t="inlineStr">
        <is>
          <t>Trochanter major (lateral)</t>
        </is>
      </c>
      <c r="U9" s="4" t="n"/>
      <c r="V9" s="4" t="n"/>
      <c r="W9" s="4" t="inlineStr">
        <is>
          <t>Führt das Bein seitwärts (Abduktion); vordere Fasern rotieren nach innen und beugen, hintere Fasern rotieren nach außen und strecken; essentiell für die Beckenstabilisierung im Einbeinstand</t>
        </is>
      </c>
      <c r="X9" s="4" t="inlineStr">
        <is>
          <t>BodyParts3D, © DBCLS</t>
        </is>
      </c>
      <c r="Y9" s="4" t="inlineStr">
        <is>
          <t>CC BY 4.0</t>
        </is>
      </c>
      <c r="Z9" s="4" t="inlineStr">
        <is>
          <t>https://creativecommons.org/licenses/by/4.0/</t>
        </is>
      </c>
      <c r="AA9" s="4" t="n"/>
    </row>
    <row r="10" ht="15.9" customHeight="1" s="30">
      <c r="A10" s="4" t="inlineStr">
        <is>
          <t>M. gluteus minimus</t>
        </is>
      </c>
      <c r="B10" s="4" t="inlineStr">
        <is>
          <t>untere-extremitaet</t>
        </is>
      </c>
      <c r="C10" s="4" t="inlineStr">
        <is>
          <t>huefte</t>
        </is>
      </c>
      <c r="D10" s="4" t="inlineStr">
        <is>
          <t>huefte,abduktor,innenrotator</t>
        </is>
      </c>
      <c r="E10" s="4" t="inlineStr">
        <is>
          <t>2</t>
        </is>
      </c>
      <c r="F10" s="4" t="inlineStr">
        <is>
          <t>Funktionell eng mit dem Gluteus medius verwandt; bei Insuffizienz ebenfalls Trendelenburg-Zeichen möglich; wird selten isoliert getestet</t>
        </is>
      </c>
      <c r="G10" s="4" t="inlineStr">
        <is>
          <t>Liegt verdeckt unter dem Gluteus medius und ist von außen nicht direkt palpierbar</t>
        </is>
      </c>
      <c r="H10" s="4" t="inlineStr">
        <is>
          <t>Art. coxae</t>
        </is>
      </c>
      <c r="I10" s="4" t="inlineStr">
        <is>
          <t>Abduktion, Flexion, Innenrotation, Extension, Außenrotation</t>
        </is>
      </c>
      <c r="J10" s="4" t="inlineStr">
        <is>
          <t>N. gluteus superior, L4, L5, S1</t>
        </is>
      </c>
      <c r="K10" s="4" t="n"/>
      <c r="L10" s="4" t="n"/>
      <c r="M10" s="4" t="inlineStr">
        <is>
          <t>Ala ossis ilii, Facies glutealis</t>
        </is>
      </c>
      <c r="N10" s="4" t="n"/>
      <c r="O10" s="4" t="n"/>
      <c r="P10" s="4" t="n"/>
      <c r="Q10" s="4" t="n"/>
      <c r="R10" s="4" t="n"/>
      <c r="S10" s="4" t="n"/>
      <c r="T10" s="4" t="inlineStr">
        <is>
          <t>Spitze des Trochanter major</t>
        </is>
      </c>
      <c r="U10" s="4" t="n"/>
      <c r="V10" s="4" t="n"/>
      <c r="W10" s="4" t="inlineStr">
        <is>
          <t>Abduziert die Hüfte und unterstützt die Innenrotation (ventrale Fasern) bzw. Außenrotation (dorsale Fasern); Funktion nahezu identisch mit Gluteus medius</t>
        </is>
      </c>
      <c r="X10" s="4" t="inlineStr">
        <is>
          <t>BodyParts3D, © DBCLS</t>
        </is>
      </c>
      <c r="Y10" s="4" t="inlineStr">
        <is>
          <t>CC BY 4.0</t>
        </is>
      </c>
      <c r="Z10" s="4" t="inlineStr">
        <is>
          <t>https://creativecommons.org/licenses/by/4.0/</t>
        </is>
      </c>
      <c r="AA10" s="4" t="n"/>
    </row>
    <row r="11" ht="15.9" customHeight="1" s="30">
      <c r="A11" s="4" t="inlineStr">
        <is>
          <t>M. pectineus</t>
        </is>
      </c>
      <c r="B11" s="4" t="inlineStr">
        <is>
          <t>untere-extremitaet</t>
        </is>
      </c>
      <c r="C11" s="4" t="inlineStr">
        <is>
          <t>huefte</t>
        </is>
      </c>
      <c r="D11" s="4" t="inlineStr">
        <is>
          <t>huefte,adduktor,beuger</t>
        </is>
      </c>
      <c r="E11" s="4" t="inlineStr">
        <is>
          <t>2</t>
        </is>
      </c>
      <c r="F11" s="4" t="inlineStr">
        <is>
          <t>Adduktorenzerrungen betreffen besonders diesen Muskel, da er mechanisch stark belastet wird; als Ursprungstendinopathie am Schambein auch als Sportlerleiste bekannt</t>
        </is>
      </c>
      <c r="G11" s="4" t="inlineStr">
        <is>
          <t>Im medialen Leistenbereich gut tastbar, wenn der Oberschenkel gegen Widerstand adduziert wird; er liegt als prominenter Strang an der Oberschenkelinnenseite</t>
        </is>
      </c>
      <c r="H11" s="4" t="inlineStr">
        <is>
          <t>Art. coxae</t>
        </is>
      </c>
      <c r="I11" s="4" t="inlineStr">
        <is>
          <t>Adduktion, Flexion, Außenrotation</t>
        </is>
      </c>
      <c r="J11" s="4" t="inlineStr">
        <is>
          <t>N. femoralis, N. obturatorius, L2, L3</t>
        </is>
      </c>
      <c r="K11" s="4" t="n"/>
      <c r="L11" s="4" t="n"/>
      <c r="M11" s="4" t="inlineStr">
        <is>
          <t>Pecten ossis pubis</t>
        </is>
      </c>
      <c r="N11" s="4" t="n"/>
      <c r="O11" s="4" t="n"/>
      <c r="P11" s="4" t="n"/>
      <c r="Q11" s="4" t="n"/>
      <c r="R11" s="4" t="n"/>
      <c r="S11" s="4" t="n"/>
      <c r="T11" s="4" t="inlineStr">
        <is>
          <t>Linea pectinea des Femur</t>
        </is>
      </c>
      <c r="U11" s="4" t="n"/>
      <c r="V11" s="4" t="n"/>
      <c r="W11" s="4" t="inlineStr">
        <is>
          <t>Adduziert den Oberschenkel und beugt ihn leicht im Hüftgelenk; eine geringe Außenrotation ist ebenfalls möglich</t>
        </is>
      </c>
      <c r="X11" s="4" t="inlineStr">
        <is>
          <t>BodyParts3D, © DBCLS</t>
        </is>
      </c>
      <c r="Y11" s="4" t="inlineStr">
        <is>
          <t>CC BY 4.0</t>
        </is>
      </c>
      <c r="Z11" s="4" t="inlineStr">
        <is>
          <t>https://creativecommons.org/licenses/by/4.0/</t>
        </is>
      </c>
      <c r="AA11" s="4" t="n"/>
    </row>
    <row r="12" ht="15.9" customHeight="1" s="30">
      <c r="A12" s="4" t="inlineStr">
        <is>
          <t>M. adductor longus</t>
        </is>
      </c>
      <c r="B12" s="4" t="inlineStr">
        <is>
          <t>untere-extremitaet</t>
        </is>
      </c>
      <c r="C12" s="4" t="inlineStr">
        <is>
          <t>huefte</t>
        </is>
      </c>
      <c r="D12" s="4" t="inlineStr">
        <is>
          <t>huefte,adduktor</t>
        </is>
      </c>
      <c r="E12" s="4" t="inlineStr">
        <is>
          <t>1</t>
        </is>
      </c>
      <c r="F12" s="4" t="inlineStr">
        <is>
          <t>Häufig zusammen mit anderen Adduktoren bei Zerrungen beteiligt; relativ kurzer Hebelarm und schmale Muskelmasse</t>
        </is>
      </c>
      <c r="G12" s="4" t="inlineStr">
        <is>
          <t>Liegt tief unter dem Adductor longus und ist von außen kaum isoliert zugänglich; eine indirekte Palpation ist bei entspannter Muskulatur möglich</t>
        </is>
      </c>
      <c r="H12" s="4" t="inlineStr">
        <is>
          <t>Art. coxae</t>
        </is>
      </c>
      <c r="I12" s="4" t="inlineStr">
        <is>
          <t>Flexion, Adduktion, Außenrotation</t>
        </is>
      </c>
      <c r="J12" s="4" t="inlineStr">
        <is>
          <t>N. obturatorius, L2, L3, L4</t>
        </is>
      </c>
      <c r="K12" s="4" t="n"/>
      <c r="L12" s="4" t="n"/>
      <c r="M12" s="4" t="inlineStr">
        <is>
          <t>Os pubis, Ramus superior und inferior</t>
        </is>
      </c>
      <c r="N12" s="4" t="n"/>
      <c r="O12" s="4" t="n"/>
      <c r="P12" s="4" t="n"/>
      <c r="Q12" s="4" t="n"/>
      <c r="R12" s="4" t="n"/>
      <c r="S12" s="4" t="n"/>
      <c r="T12" s="4" t="inlineStr">
        <is>
          <t>Linea aspera des Femur (Mitte)</t>
        </is>
      </c>
      <c r="U12" s="4" t="n"/>
      <c r="V12" s="4" t="n"/>
      <c r="W12" s="4" t="inlineStr">
        <is>
          <t>Führt den Oberschenkel zur Körpermitte (Adduktion); unterstützt zugleich die Hüftbeugung und eine leichte Außenrotation</t>
        </is>
      </c>
      <c r="X12" s="4" t="inlineStr">
        <is>
          <t>BodyParts3D, © DBCLS</t>
        </is>
      </c>
      <c r="Y12" s="4" t="inlineStr">
        <is>
          <t>CC BY 4.0</t>
        </is>
      </c>
      <c r="Z12" s="4" t="inlineStr">
        <is>
          <t>https://creativecommons.org/licenses/by/4.0/</t>
        </is>
      </c>
      <c r="AA12" s="4" t="n"/>
    </row>
    <row r="13" ht="15.9" customHeight="1" s="30">
      <c r="A13" s="4" t="inlineStr">
        <is>
          <t>M. adductor brevis</t>
        </is>
      </c>
      <c r="B13" s="4" t="inlineStr">
        <is>
          <t>untere-extremitaet</t>
        </is>
      </c>
      <c r="C13" s="4" t="inlineStr">
        <is>
          <t>huefte</t>
        </is>
      </c>
      <c r="D13" s="4" t="inlineStr">
        <is>
          <t>huefte,adduktor</t>
        </is>
      </c>
      <c r="E13" s="4" t="inlineStr">
        <is>
          <t>2</t>
        </is>
      </c>
      <c r="F13" s="4" t="inlineStr">
        <is>
          <t>Häufig zusammen mit anderen Adduktoren bei Zerrungen beteiligt; relativ kurzer Hebelarm und schmale Muskelmasse</t>
        </is>
      </c>
      <c r="G13" s="4" t="inlineStr">
        <is>
          <t>An der medialen Oberschenkelseite in großer Ausdehnung palpierbar; der hintere, ischiokrurale Teil ist bei gebeugtem Knie am besten abzugrenzen</t>
        </is>
      </c>
      <c r="H13" s="4" t="inlineStr">
        <is>
          <t>Art. coxae</t>
        </is>
      </c>
      <c r="I13" s="4" t="inlineStr">
        <is>
          <t>Adduktion, Flexion, Außenrotation</t>
        </is>
      </c>
      <c r="J13" s="4" t="inlineStr">
        <is>
          <t>N. obturatorius, L2, L3, L4</t>
        </is>
      </c>
      <c r="K13" s="4" t="n"/>
      <c r="L13" s="4" t="n"/>
      <c r="M13" s="4" t="inlineStr">
        <is>
          <t>Os pubis, Ramus inferior</t>
        </is>
      </c>
      <c r="N13" s="4" t="n"/>
      <c r="O13" s="4" t="n"/>
      <c r="P13" s="4" t="n"/>
      <c r="Q13" s="4" t="n"/>
      <c r="R13" s="4" t="n"/>
      <c r="S13" s="4" t="n"/>
      <c r="T13" s="4" t="inlineStr">
        <is>
          <t>Linea pectinea (distal) und Linea aspera (proximal)</t>
        </is>
      </c>
      <c r="U13" s="4" t="n"/>
      <c r="V13" s="4" t="n"/>
      <c r="W13" s="4" t="inlineStr">
        <is>
          <t>Führt den Oberschenkel zur Körpermitte (Adduktion); unterstützt zugleich die Hüftbeugung und eine leichte Außenrotation</t>
        </is>
      </c>
      <c r="X13" s="4" t="inlineStr">
        <is>
          <t>BodyParts3D, © DBCLS</t>
        </is>
      </c>
      <c r="Y13" s="4" t="inlineStr">
        <is>
          <t>CC BY 4.0</t>
        </is>
      </c>
      <c r="Z13" s="4" t="inlineStr">
        <is>
          <t>https://creativecommons.org/licenses/by/4.0/</t>
        </is>
      </c>
      <c r="AA13" s="4" t="n"/>
    </row>
    <row r="14" ht="15.9" customHeight="1" s="30">
      <c r="A14" s="4" t="inlineStr">
        <is>
          <t>M. adductor magnus</t>
        </is>
      </c>
      <c r="B14" s="4" t="inlineStr">
        <is>
          <t>untere-extremitaet</t>
        </is>
      </c>
      <c r="C14" s="4" t="inlineStr">
        <is>
          <t>huefte</t>
        </is>
      </c>
      <c r="D14" s="4" t="inlineStr">
        <is>
          <t>huefte,adduktor,strecker</t>
        </is>
      </c>
      <c r="E14" s="4" t="inlineStr">
        <is>
          <t>2</t>
        </is>
      </c>
      <c r="F14" s="4" t="inlineStr">
        <is>
          <t>Der Hiatus adductorius in diesem Muskel ist klinisch bedeutsam, da A. und V. femoralis hindurchtreten; Adduktorenzerrungen betreffen häufig die ischiale Ursprungspartie</t>
        </is>
      </c>
      <c r="G14" s="4" t="inlineStr">
        <is>
          <t>Liegt tief unter dem Gluteus maximus und ist von außen nicht sicher palpierbar; indirekte Druckdolenz in der Glutealregion kann auf Reizung hinweisen</t>
        </is>
      </c>
      <c r="H14" s="4" t="inlineStr">
        <is>
          <t>Art. coxae</t>
        </is>
      </c>
      <c r="I14" s="4" t="inlineStr">
        <is>
          <t>Adduktion, Extension, Außenrotation, Innenrotation</t>
        </is>
      </c>
      <c r="J14" s="4" t="inlineStr">
        <is>
          <t>N. obturatorius, N. tibialis, L2, L3, L4, L5, S1</t>
        </is>
      </c>
      <c r="K14" s="4" t="n"/>
      <c r="L14" s="4" t="inlineStr">
        <is>
          <t>Pars superior</t>
        </is>
      </c>
      <c r="M14" s="4" t="inlineStr">
        <is>
          <t>Os pubis, Ramus inferior und Ramus ossis ischii</t>
        </is>
      </c>
      <c r="N14" s="4" t="inlineStr">
        <is>
          <t>Pars media</t>
        </is>
      </c>
      <c r="O14" s="4" t="inlineStr">
        <is>
          <t>Ramus ossis ischii</t>
        </is>
      </c>
      <c r="P14" s="4" t="inlineStr">
        <is>
          <t>Pars inferior</t>
        </is>
      </c>
      <c r="Q14" s="4" t="inlineStr">
        <is>
          <t>Tuber ischiadicum</t>
        </is>
      </c>
      <c r="R14" s="4" t="n"/>
      <c r="S14" s="4" t="n"/>
      <c r="T14" s="4" t="inlineStr">
        <is>
          <t>Linea aspera (proximal)</t>
        </is>
      </c>
      <c r="U14" s="4" t="inlineStr">
        <is>
          <t>Linea aspera (distal)</t>
        </is>
      </c>
      <c r="V14" s="4" t="inlineStr">
        <is>
          <t>Tuberculum adductorium</t>
        </is>
      </c>
      <c r="W14" s="4" t="inlineStr">
        <is>
          <t>Kräftiger Adduktor des Hüftgelenks; streckt die Hüfte (insbesondere der ischiokrurale Anteil); der pubische Anteil rotiert nach außen, der ischiokrurale Anteil nach innen</t>
        </is>
      </c>
      <c r="X14" s="4" t="inlineStr">
        <is>
          <t>BodyParts3D, © DBCLS</t>
        </is>
      </c>
      <c r="Y14" s="4" t="inlineStr">
        <is>
          <t>CC BY 4.0</t>
        </is>
      </c>
      <c r="Z14" s="4" t="inlineStr">
        <is>
          <t>https://creativecommons.org/licenses/by/4.0/</t>
        </is>
      </c>
      <c r="AA14" s="4" t="n"/>
    </row>
    <row r="15" ht="15.9" customHeight="1" s="30">
      <c r="A15" s="4" t="inlineStr">
        <is>
          <t>M. piriformis</t>
        </is>
      </c>
      <c r="B15" s="4" t="inlineStr">
        <is>
          <t>untere-extremitaet</t>
        </is>
      </c>
      <c r="C15" s="4" t="inlineStr">
        <is>
          <t>huefte</t>
        </is>
      </c>
      <c r="D15" s="4" t="inlineStr">
        <is>
          <t>huefte,aussenrotator,sakrofemoral</t>
        </is>
      </c>
      <c r="E15" s="4" t="inlineStr">
        <is>
          <t>2</t>
        </is>
      </c>
      <c r="F15" s="4" t="inlineStr">
        <is>
          <t>Gehört zur Gruppe der tiefen Außenrotatoren; bei Verletzungen oder Reizzuständen können Beschwerden die ischiadikusähnliche Symptomatik imitieren</t>
        </is>
      </c>
      <c r="G15" s="4" t="inlineStr">
        <is>
          <t>Aufgrund seiner tiefen, intrapelvinen Lage ist er klinisch nicht palpierbar</t>
        </is>
      </c>
      <c r="H15" s="4" t="inlineStr">
        <is>
          <t>Art. coxae</t>
        </is>
      </c>
      <c r="I15" s="4" t="inlineStr">
        <is>
          <t>Außenrotation, Abduktion</t>
        </is>
      </c>
      <c r="J15" s="4" t="inlineStr">
        <is>
          <t>Plexus sacralis, S1, S2</t>
        </is>
      </c>
      <c r="K15" s="4" t="n"/>
      <c r="L15" s="4" t="n"/>
      <c r="M15" s="4" t="inlineStr">
        <is>
          <t>Os sacrum, Facies pelvica</t>
        </is>
      </c>
      <c r="N15" s="4" t="n"/>
      <c r="O15" s="4" t="n"/>
      <c r="P15" s="4" t="n"/>
      <c r="Q15" s="4" t="n"/>
      <c r="R15" s="4" t="n"/>
      <c r="S15" s="4" t="n"/>
      <c r="T15" s="4" t="inlineStr">
        <is>
          <t>Trochanter major des Femur</t>
        </is>
      </c>
      <c r="U15" s="4" t="n"/>
      <c r="V15" s="4" t="n"/>
      <c r="W15" s="4" t="inlineStr">
        <is>
          <t>Außenrotiert den Oberschenkel im Hüftgelenk; wirkt bei 90° Hüftbeugung zusätzlich als Abduktor</t>
        </is>
      </c>
      <c r="X15" s="4" t="inlineStr">
        <is>
          <t>BodyParts3D, © DBCLS</t>
        </is>
      </c>
      <c r="Y15" s="4" t="inlineStr">
        <is>
          <t>CC BY 4.0</t>
        </is>
      </c>
      <c r="Z15" s="4" t="inlineStr">
        <is>
          <t>https://creativecommons.org/licenses/by/4.0/</t>
        </is>
      </c>
      <c r="AA15" s="4" t="n"/>
    </row>
    <row r="16" ht="15.9" customHeight="1" s="30">
      <c r="A16" s="4" t="inlineStr">
        <is>
          <t>M. obturatorius internus</t>
        </is>
      </c>
      <c r="B16" s="4" t="inlineStr">
        <is>
          <t>untere-extremitaet</t>
        </is>
      </c>
      <c r="C16" s="4" t="inlineStr">
        <is>
          <t>huefte</t>
        </is>
      </c>
      <c r="D16" s="4" t="inlineStr">
        <is>
          <t>huefte,aussenrotator,sakrofemoral</t>
        </is>
      </c>
      <c r="E16" s="4" t="inlineStr">
        <is>
          <t>3</t>
        </is>
      </c>
      <c r="F16" s="4" t="inlineStr">
        <is>
          <t>Teil der tiefen Außenrotatorengruppe; klinisch häufig zusammen mit Piriformis und den Gemelli beurteilt; gut zu testen im Seitenvergleich der Außenrotationskraft</t>
        </is>
      </c>
      <c r="G16" s="4" t="inlineStr">
        <is>
          <t>Liegt tief in der Gesäßregion und ist der direkten Palpation nicht zugänglich</t>
        </is>
      </c>
      <c r="H16" s="4" t="inlineStr">
        <is>
          <t>Art. coxae</t>
        </is>
      </c>
      <c r="I16" s="4" t="inlineStr">
        <is>
          <t>Außenrotation</t>
        </is>
      </c>
      <c r="J16" s="4" t="inlineStr">
        <is>
          <t>Plexus sacralis, L5, S1</t>
        </is>
      </c>
      <c r="K16" s="4" t="n"/>
      <c r="L16" s="4" t="n"/>
      <c r="M16" s="4" t="inlineStr">
        <is>
          <t>Os coxae und Membrana obturatoria (Innenseite)</t>
        </is>
      </c>
      <c r="N16" s="4" t="n"/>
      <c r="O16" s="4" t="n"/>
      <c r="P16" s="4" t="n"/>
      <c r="Q16" s="4" t="n"/>
      <c r="R16" s="4" t="n"/>
      <c r="S16" s="4" t="n"/>
      <c r="T16" s="4" t="inlineStr">
        <is>
          <t>Fossa trochanterica des Femur</t>
        </is>
      </c>
      <c r="U16" s="4" t="n"/>
      <c r="V16" s="4" t="n"/>
      <c r="W16" s="4" t="inlineStr">
        <is>
          <t>Dreht den Oberschenkel im Hüftgelenk nach außen</t>
        </is>
      </c>
      <c r="X16" s="4" t="inlineStr">
        <is>
          <t>BodyParts3D, © DBCLS</t>
        </is>
      </c>
      <c r="Y16" s="4" t="inlineStr">
        <is>
          <t>CC BY 4.0</t>
        </is>
      </c>
      <c r="Z16" s="4" t="inlineStr">
        <is>
          <t>https://creativecommons.org/licenses/by/4.0/</t>
        </is>
      </c>
      <c r="AA16" s="4" t="n"/>
    </row>
    <row r="17" ht="15.9" customHeight="1" s="30">
      <c r="A17" s="4" t="inlineStr">
        <is>
          <t>M. obturatorius externus</t>
        </is>
      </c>
      <c r="B17" s="4" t="inlineStr">
        <is>
          <t>untere-extremitaet</t>
        </is>
      </c>
      <c r="C17" s="4" t="inlineStr">
        <is>
          <t>huefte</t>
        </is>
      </c>
      <c r="D17" s="4" t="inlineStr">
        <is>
          <t>huefte,aussenrotator</t>
        </is>
      </c>
      <c r="E17" s="4" t="inlineStr">
        <is>
          <t>3</t>
        </is>
      </c>
      <c r="F17" s="4" t="inlineStr">
        <is>
          <t>Ebenfalls Teil der tiefen Außenrotatorengruppe; klinisch kaum isoliert testbar, wird funktionell immer mit dem M. obturatorius internus bewertet</t>
        </is>
      </c>
      <c r="G17" s="4" t="inlineStr">
        <is>
          <t>Liegt zu tief unter der Gesäßmuskulatur, um direkt getastet werden zu können</t>
        </is>
      </c>
      <c r="H17" s="4" t="inlineStr">
        <is>
          <t>Art. coxae</t>
        </is>
      </c>
      <c r="I17" s="4" t="inlineStr">
        <is>
          <t>Außenrotation</t>
        </is>
      </c>
      <c r="J17" s="4" t="inlineStr">
        <is>
          <t>N. obturatorius, L3, L4</t>
        </is>
      </c>
      <c r="K17" s="4" t="n"/>
      <c r="L17" s="4" t="n"/>
      <c r="M17" s="4" t="inlineStr">
        <is>
          <t>Os coxae und Membrana obturatoria (Außenseite)</t>
        </is>
      </c>
      <c r="N17" s="4" t="n"/>
      <c r="O17" s="4" t="n"/>
      <c r="P17" s="4" t="n"/>
      <c r="Q17" s="4" t="n"/>
      <c r="R17" s="4" t="n"/>
      <c r="S17" s="4" t="n"/>
      <c r="T17" s="4" t="inlineStr">
        <is>
          <t>Fossa trochanterica des Femur</t>
        </is>
      </c>
      <c r="U17" s="4" t="n"/>
      <c r="V17" s="4" t="n"/>
      <c r="W17" s="4" t="inlineStr">
        <is>
          <t>Dreht den Oberschenkel im Hüftgelenk nach außen</t>
        </is>
      </c>
      <c r="X17" s="4" t="inlineStr">
        <is>
          <t>BodyParts3D, © DBCLS</t>
        </is>
      </c>
      <c r="Y17" s="4" t="inlineStr">
        <is>
          <t>CC BY 4.0</t>
        </is>
      </c>
      <c r="Z17" s="4" t="inlineStr">
        <is>
          <t>https://creativecommons.org/licenses/by/4.0/</t>
        </is>
      </c>
      <c r="AA17" s="4" t="n"/>
    </row>
    <row r="18" ht="15.9" customHeight="1" s="30">
      <c r="A18" s="4" t="inlineStr">
        <is>
          <t>M. gemellus superior</t>
        </is>
      </c>
      <c r="B18" s="4" t="inlineStr">
        <is>
          <t>untere-extremitaet</t>
        </is>
      </c>
      <c r="C18" s="4" t="inlineStr">
        <is>
          <t>huefte</t>
        </is>
      </c>
      <c r="D18" s="4" t="inlineStr">
        <is>
          <t>huefte,aussenrotator,sakrofemoral</t>
        </is>
      </c>
      <c r="E18" s="4" t="inlineStr">
        <is>
          <t>3</t>
        </is>
      </c>
      <c r="F18" s="4" t="inlineStr">
        <is>
          <t>Ebenfalls Teil der tiefen Außenrotatorengruppe; klinisch kaum isoliert testbar, wird funktionell immer mit dem M. obturatorius internus bewertet</t>
        </is>
      </c>
      <c r="G18" s="4" t="inlineStr">
        <is>
          <t>Liegt zu tief in der Glutealregion, um von außen direkt getastet werden zu können</t>
        </is>
      </c>
      <c r="H18" s="4" t="inlineStr">
        <is>
          <t>Art. coxae</t>
        </is>
      </c>
      <c r="I18" s="4" t="inlineStr">
        <is>
          <t>Außenrotation</t>
        </is>
      </c>
      <c r="J18" s="4" t="inlineStr">
        <is>
          <t>Plexus sacralis, L5, S1</t>
        </is>
      </c>
      <c r="K18" s="4" t="n"/>
      <c r="L18" s="4" t="n"/>
      <c r="M18" s="4" t="inlineStr">
        <is>
          <t>Spina ischiadica</t>
        </is>
      </c>
      <c r="N18" s="4" t="n"/>
      <c r="O18" s="4" t="n"/>
      <c r="P18" s="4" t="n"/>
      <c r="Q18" s="4" t="n"/>
      <c r="R18" s="4" t="n"/>
      <c r="S18" s="4" t="n"/>
      <c r="T18" s="4" t="inlineStr">
        <is>
          <t>Fossa trochanterica des Femur</t>
        </is>
      </c>
      <c r="U18" s="4" t="n"/>
      <c r="V18" s="4" t="n"/>
      <c r="W18" s="4" t="inlineStr">
        <is>
          <t>Unterstützt die Außenrotation im Hüftgelenk</t>
        </is>
      </c>
      <c r="X18" s="4" t="inlineStr">
        <is>
          <t>BodyParts3D, © DBCLS</t>
        </is>
      </c>
      <c r="Y18" s="4" t="inlineStr">
        <is>
          <t>CC BY 4.0</t>
        </is>
      </c>
      <c r="Z18" s="4" t="inlineStr">
        <is>
          <t>https://creativecommons.org/licenses/by/4.0/</t>
        </is>
      </c>
      <c r="AA18" s="4" t="n"/>
    </row>
    <row r="19" ht="15.9" customHeight="1" s="30">
      <c r="A19" s="4" t="inlineStr">
        <is>
          <t>M. gemellus inferior</t>
        </is>
      </c>
      <c r="B19" s="4" t="inlineStr">
        <is>
          <t>untere-extremitaet</t>
        </is>
      </c>
      <c r="C19" s="4" t="inlineStr">
        <is>
          <t>huefte</t>
        </is>
      </c>
      <c r="D19" s="4" t="inlineStr">
        <is>
          <t>huefte,aussenrotator,sakrofemoral</t>
        </is>
      </c>
      <c r="E19" s="4" t="inlineStr">
        <is>
          <t>3</t>
        </is>
      </c>
      <c r="F19" s="4" t="inlineStr">
        <is>
          <t>Tiefe Außenrotatorengruppe; bei Reizung oder Verspannung kann Druckdolenz am Tuber ischiadicum auf diesen Muskel hindeuten</t>
        </is>
      </c>
      <c r="G19" s="4" t="inlineStr">
        <is>
          <t>Liegt zu tief in der Glutealregion, um von außen direkt getastet werden zu können</t>
        </is>
      </c>
      <c r="H19" s="4" t="inlineStr">
        <is>
          <t>Art. coxae</t>
        </is>
      </c>
      <c r="I19" s="4" t="inlineStr">
        <is>
          <t>Außenrotation</t>
        </is>
      </c>
      <c r="J19" s="4" t="inlineStr">
        <is>
          <t>Plexus sacralis, L5, S1</t>
        </is>
      </c>
      <c r="K19" s="4" t="n"/>
      <c r="L19" s="4" t="n"/>
      <c r="M19" s="4" t="inlineStr">
        <is>
          <t>Tuber ischiadicum</t>
        </is>
      </c>
      <c r="N19" s="4" t="n"/>
      <c r="O19" s="4" t="n"/>
      <c r="P19" s="4" t="n"/>
      <c r="Q19" s="4" t="n"/>
      <c r="R19" s="4" t="n"/>
      <c r="S19" s="4" t="n"/>
      <c r="T19" s="4" t="inlineStr">
        <is>
          <t>Fossa trochanterica des Femur</t>
        </is>
      </c>
      <c r="U19" s="4" t="n"/>
      <c r="V19" s="4" t="n"/>
      <c r="W19" s="4" t="inlineStr">
        <is>
          <t>Unterstützt die Außenrotation im Hüftgelenk</t>
        </is>
      </c>
      <c r="X19" s="4" t="inlineStr">
        <is>
          <t>BodyParts3D, © DBCLS</t>
        </is>
      </c>
      <c r="Y19" s="4" t="inlineStr">
        <is>
          <t>CC BY 4.0</t>
        </is>
      </c>
      <c r="Z19" s="4" t="inlineStr">
        <is>
          <t>https://creativecommons.org/licenses/by/4.0/</t>
        </is>
      </c>
      <c r="AA19" s="4" t="n"/>
    </row>
    <row r="20" ht="15.9" customHeight="1" s="30">
      <c r="A20" s="4" t="inlineStr">
        <is>
          <t>M. quadratus femoris</t>
        </is>
      </c>
      <c r="B20" s="4" t="inlineStr">
        <is>
          <t>untere-extremitaet</t>
        </is>
      </c>
      <c r="C20" s="4" t="inlineStr">
        <is>
          <t>huefte</t>
        </is>
      </c>
      <c r="D20" s="4" t="inlineStr">
        <is>
          <t>huefte,aussenrotator,adduktor</t>
        </is>
      </c>
      <c r="E20" s="4" t="inlineStr">
        <is>
          <t>3</t>
        </is>
      </c>
      <c r="F20" s="4" t="inlineStr">
        <is>
          <t>Tiefe Außenrotatorengruppe; bei Reizung oder Verspannung kann Druckdolenz am Tuber ischiadicum auf diesen Muskel hindeuten</t>
        </is>
      </c>
      <c r="G20" s="4" t="inlineStr">
        <is>
          <t>Liegt zu tief in der Glutealregion, um von außen direkt getastet werden zu können</t>
        </is>
      </c>
      <c r="H20" s="4" t="inlineStr">
        <is>
          <t>Art. coxae</t>
        </is>
      </c>
      <c r="I20" s="4" t="inlineStr">
        <is>
          <t>Außenrotation, Adduktion</t>
        </is>
      </c>
      <c r="J20" s="4" t="inlineStr">
        <is>
          <t>Plexus sacralis, L4, L5, S1</t>
        </is>
      </c>
      <c r="K20" s="4" t="n"/>
      <c r="L20" s="4" t="n"/>
      <c r="M20" s="4" t="inlineStr">
        <is>
          <t>Tuber ischiadicum (lateral)</t>
        </is>
      </c>
      <c r="N20" s="4" t="n"/>
      <c r="O20" s="4" t="n"/>
      <c r="P20" s="4" t="n"/>
      <c r="Q20" s="4" t="n"/>
      <c r="R20" s="4" t="n"/>
      <c r="S20" s="4" t="n"/>
      <c r="T20" s="4" t="inlineStr">
        <is>
          <t>Crista intertrochanterica des Femur</t>
        </is>
      </c>
      <c r="U20" s="4" t="n"/>
      <c r="V20" s="4" t="n"/>
      <c r="W20" s="4" t="inlineStr">
        <is>
          <t>Dreht den Oberschenkel nach außen und zieht ihn leicht zur Körpermitte (Adduktion); liegt zwischen Tuber ischiadicum und Crista intertrochanterica</t>
        </is>
      </c>
      <c r="X20" s="4" t="inlineStr">
        <is>
          <t>BodyParts3D, © DBCLS</t>
        </is>
      </c>
      <c r="Y20" s="4" t="inlineStr">
        <is>
          <t>CC BY 4.0</t>
        </is>
      </c>
      <c r="Z20" s="4" t="inlineStr">
        <is>
          <t>https://creativecommons.org/licenses/by/4.0/</t>
        </is>
      </c>
      <c r="AA20" s="4" t="n"/>
    </row>
    <row r="21" ht="15.9" customHeight="1" s="30">
      <c r="A21" s="4" t="inlineStr">
        <is>
          <t>M. tensor fasciae latae</t>
        </is>
      </c>
      <c r="B21" s="4" t="inlineStr">
        <is>
          <t>untere-extremitaet</t>
        </is>
      </c>
      <c r="C21" s="4" t="inlineStr">
        <is>
          <t>huefte</t>
        </is>
      </c>
      <c r="D21" s="4" t="inlineStr">
        <is>
          <t>huefte,abduktor,innenrotator,knie</t>
        </is>
      </c>
      <c r="E21" s="4" t="inlineStr">
        <is>
          <t>1</t>
        </is>
      </c>
      <c r="F21" s="4" t="inlineStr">
        <is>
          <t>Pes-anserinus-Syndrom (Insertion am medialen Tibiakopf); die Sehne wird zudem als autologes Transplantat bei Kreuzbandrekonstruktionen verwendet</t>
        </is>
      </c>
      <c r="G21" s="4" t="inlineStr">
        <is>
          <t>Am anterolateralen Beckenkamm unterhalb der SIAS tastbar; als kompakter Muskelbauch deutlich abgrenzbar, besonders bei Anspannung</t>
        </is>
      </c>
      <c r="H21" s="4" t="inlineStr">
        <is>
          <t>Art. coxae, Art. genus</t>
        </is>
      </c>
      <c r="I21" s="4" t="inlineStr">
        <is>
          <t>Abduktion, Flexion, Innenrotation</t>
        </is>
      </c>
      <c r="J21" s="4" t="inlineStr">
        <is>
          <t>N. gluteus superior, L4, L5, S1</t>
        </is>
      </c>
      <c r="K21" s="4" t="n"/>
      <c r="L21" s="4" t="n"/>
      <c r="M21" s="4" t="inlineStr">
        <is>
          <t>Spina iliaca anterior superior</t>
        </is>
      </c>
      <c r="N21" s="4" t="n"/>
      <c r="O21" s="4" t="n"/>
      <c r="P21" s="4" t="n"/>
      <c r="Q21" s="4" t="n"/>
      <c r="R21" s="4" t="n"/>
      <c r="S21" s="4" t="n"/>
      <c r="T21" s="4" t="inlineStr">
        <is>
          <t>Tractus iliotibialis, Tuberculum von Gerdy an der Tibia</t>
        </is>
      </c>
      <c r="U21" s="4" t="n"/>
      <c r="V21" s="4" t="n"/>
      <c r="W21" s="4" t="inlineStr">
        <is>
          <t>Abduziert und beugt die Hüfte, dreht den Oberschenkel nach innen; spannt den Tractus iliotibialis und entlastet damit Femurschaft und -hals</t>
        </is>
      </c>
      <c r="X21" s="4" t="inlineStr">
        <is>
          <t>BodyParts3D, © DBCLS</t>
        </is>
      </c>
      <c r="Y21" s="4" t="inlineStr">
        <is>
          <t>CC BY 4.0</t>
        </is>
      </c>
      <c r="Z21" s="4" t="inlineStr">
        <is>
          <t>https://creativecommons.org/licenses/by/4.0/</t>
        </is>
      </c>
      <c r="AA21" s="4" t="n"/>
    </row>
    <row r="22" ht="15.9" customHeight="1" s="30">
      <c r="A22" s="4" t="inlineStr">
        <is>
          <t>M. sartorius</t>
        </is>
      </c>
      <c r="B22" s="4" t="inlineStr">
        <is>
          <t>untere-extremitaet</t>
        </is>
      </c>
      <c r="C22" s="4" t="inlineStr">
        <is>
          <t>huefte</t>
        </is>
      </c>
      <c r="D22" s="4" t="inlineStr">
        <is>
          <t>huefte,beuger,aussenrotator,knie</t>
        </is>
      </c>
      <c r="E22" s="4" t="inlineStr">
        <is>
          <t>1</t>
        </is>
      </c>
      <c r="F22" s="4" t="inlineStr">
        <is>
          <t>Pes-anserinus-Syndrom</t>
        </is>
      </c>
      <c r="G22" s="4" t="inlineStr">
        <is>
          <t>Als länglicher, schräg verlaufender Strang über den Oberschenkel tastbar; am deutlichsten bei gleichzeitiger Hüftflexion, Außenrotation und Kniebeugung</t>
        </is>
      </c>
      <c r="H22" s="4" t="inlineStr">
        <is>
          <t>Art. coxae, Art. genus</t>
        </is>
      </c>
      <c r="I22" s="4" t="inlineStr">
        <is>
          <t>Hüftflexion, Außenrotation, Abduktion, Knieflexion, Knie-Innenrotation</t>
        </is>
      </c>
      <c r="J22" s="4" t="inlineStr">
        <is>
          <t>N. femoralis, L2, L3</t>
        </is>
      </c>
      <c r="K22" s="4" t="n"/>
      <c r="L22" s="4" t="n"/>
      <c r="M22" s="4" t="inlineStr">
        <is>
          <t>Spina iliaca anterior superior</t>
        </is>
      </c>
      <c r="N22" s="4" t="n"/>
      <c r="O22" s="4" t="n"/>
      <c r="P22" s="4" t="n"/>
      <c r="Q22" s="4" t="n"/>
      <c r="R22" s="4" t="n"/>
      <c r="S22" s="4" t="n"/>
      <c r="T22" s="4" t="inlineStr">
        <is>
          <t>Tibia, Facies medialis (Pes anserinus)</t>
        </is>
      </c>
      <c r="U22" s="4" t="n"/>
      <c r="V22" s="4" t="n"/>
      <c r="W22" s="4" t="inlineStr">
        <is>
          <t>Beugt und dreht die Hüfte nach außen; abduziert; im Kniegelenk bewirkt er Beugung und Innenrotation des Unterschenkels – typische Schneidersitzposition</t>
        </is>
      </c>
      <c r="X22" s="4" t="inlineStr">
        <is>
          <t>BodyParts3D, © DBCLS</t>
        </is>
      </c>
      <c r="Y22" s="4" t="inlineStr">
        <is>
          <t>CC BY 4.0</t>
        </is>
      </c>
      <c r="Z22" s="4" t="inlineStr">
        <is>
          <t>https://creativecommons.org/licenses/by/4.0/</t>
        </is>
      </c>
      <c r="AA22" s="4" t="n"/>
    </row>
    <row r="23" ht="15.9" customHeight="1" s="30">
      <c r="A23" s="4" t="inlineStr">
        <is>
          <t>M. gracilis</t>
        </is>
      </c>
      <c r="B23" s="4" t="inlineStr">
        <is>
          <t>untere-extremitaet</t>
        </is>
      </c>
      <c r="C23" s="4" t="inlineStr">
        <is>
          <t>huefte</t>
        </is>
      </c>
      <c r="D23" s="4" t="inlineStr">
        <is>
          <t>huefte,adduktor,knie,beuger</t>
        </is>
      </c>
      <c r="E23" s="4" t="inlineStr">
        <is>
          <t>2</t>
        </is>
      </c>
      <c r="F23" s="4" t="inlineStr">
        <is>
          <t>Pes-anserinus-Syndrom, Sehnentransplantat (Kreuzbandplastik)</t>
        </is>
      </c>
      <c r="G23" s="4" t="inlineStr">
        <is>
          <t>Als dünner, senkrechter Strang an der Oberschenkelinnenseite tastbar; bei Adduktion gegen Widerstand gut hervorzurufen</t>
        </is>
      </c>
      <c r="H23" s="4" t="inlineStr">
        <is>
          <t>Art. coxae, Art. genus</t>
        </is>
      </c>
      <c r="I23" s="4" t="inlineStr">
        <is>
          <t>Hüftadduktion, Knieflexion, Knie-Innenrotation</t>
        </is>
      </c>
      <c r="J23" s="4" t="inlineStr">
        <is>
          <t>N. obturatorius, L2, L3</t>
        </is>
      </c>
      <c r="K23" s="4" t="n"/>
      <c r="L23" s="4" t="n"/>
      <c r="M23" s="4" t="inlineStr">
        <is>
          <t>Os pubis, Ramus inferior</t>
        </is>
      </c>
      <c r="N23" s="4" t="n"/>
      <c r="O23" s="4" t="n"/>
      <c r="P23" s="4" t="n"/>
      <c r="Q23" s="4" t="n"/>
      <c r="R23" s="4" t="n"/>
      <c r="S23" s="4" t="n"/>
      <c r="T23" s="4" t="inlineStr">
        <is>
          <t>Tibia, Facies medialis (Pes anserinus)</t>
        </is>
      </c>
      <c r="U23" s="4" t="n"/>
      <c r="V23" s="4" t="n"/>
      <c r="W23" s="4" t="inlineStr">
        <is>
          <t>Adduziert das Bein im Hüftgelenk; im Kniegelenk wirkt er als Beuger und Innenrotator des Unterschenkels</t>
        </is>
      </c>
      <c r="X23" s="4" t="inlineStr">
        <is>
          <t>BodyParts3D, © DBCLS</t>
        </is>
      </c>
      <c r="Y23" s="4" t="inlineStr">
        <is>
          <t>CC BY 4.0</t>
        </is>
      </c>
      <c r="Z23" s="4" t="inlineStr">
        <is>
          <t>https://creativecommons.org/licenses/by/4.0/</t>
        </is>
      </c>
      <c r="AA23" s="4" t="n"/>
    </row>
    <row r="24" ht="15.9" customHeight="1" s="30">
      <c r="A24" s="33" t="inlineStr">
        <is>
          <t>── KNIE ──</t>
        </is>
      </c>
    </row>
    <row r="25" ht="15.9" customHeight="1" s="30">
      <c r="A25" s="5" t="inlineStr">
        <is>
          <t>M. rectus femoris</t>
        </is>
      </c>
      <c r="B25" s="5" t="inlineStr">
        <is>
          <t>untere-extremitaet</t>
        </is>
      </c>
      <c r="C25" s="5" t="inlineStr">
        <is>
          <t>knie</t>
        </is>
      </c>
      <c r="D25" s="5" t="inlineStr">
        <is>
          <t>knie,strecker,huefte,beuger,quadriceps</t>
        </is>
      </c>
      <c r="E25" s="5" t="inlineStr">
        <is>
          <t>1</t>
        </is>
      </c>
      <c r="F25" s="5" t="inlineStr">
        <is>
          <t>Risse der Quadricepssehne oder der Patellarsehne entstehen oft durch exzentrische Überlastung; der Rectus femoris ist als einziger Quadricepsanteil zweigelenkig und damit besonders gefährdet</t>
        </is>
      </c>
      <c r="G25" s="5" t="inlineStr">
        <is>
          <t>An der vorderen Oberschenkelmitte als erhabener Wulst tastbar; bei Kniestreckung gegen Widerstand deutlich unter der Haut zu spüren</t>
        </is>
      </c>
      <c r="H25" s="5" t="inlineStr">
        <is>
          <t>Art. coxae, Art. genus</t>
        </is>
      </c>
      <c r="I25" s="5" t="inlineStr">
        <is>
          <t>Hüftflexion, Knieextension</t>
        </is>
      </c>
      <c r="J25" s="5" t="inlineStr">
        <is>
          <t>N. femoralis, L2, L3, L4</t>
        </is>
      </c>
      <c r="K25" s="5" t="n"/>
      <c r="L25" s="5" t="n"/>
      <c r="M25" s="5" t="inlineStr">
        <is>
          <t>Spina iliaca anterior inferior und Azetabulum (oberer Rand)</t>
        </is>
      </c>
      <c r="N25" s="5" t="n"/>
      <c r="O25" s="5" t="n"/>
      <c r="P25" s="5" t="n"/>
      <c r="Q25" s="5" t="n"/>
      <c r="R25" s="5" t="n"/>
      <c r="S25" s="5" t="n"/>
      <c r="T25" s="5" t="inlineStr">
        <is>
          <t>Tuberositas tibiae (via Patellarsehne)</t>
        </is>
      </c>
      <c r="U25" s="5" t="n"/>
      <c r="V25" s="5" t="n"/>
      <c r="W25" s="5" t="inlineStr">
        <is>
          <t>Beugt die Hüfte im Hüftgelenk (Flexion in der Art. coxae); streckt das Kniegelenk als Teil des Quadriceps (Extension in der Art. genus)</t>
        </is>
      </c>
      <c r="X25" s="5" t="inlineStr">
        <is>
          <t>BodyParts3D, © DBCLS</t>
        </is>
      </c>
      <c r="Y25" s="5" t="inlineStr">
        <is>
          <t>CC BY 4.0</t>
        </is>
      </c>
      <c r="Z25" s="5" t="inlineStr">
        <is>
          <t>https://creativecommons.org/licenses/by/4.0/</t>
        </is>
      </c>
      <c r="AA25" s="5" t="n"/>
    </row>
    <row r="26" ht="15.9" customHeight="1" s="30">
      <c r="A26" s="5" t="inlineStr">
        <is>
          <t>M. biceps femoris – Caput longum</t>
        </is>
      </c>
      <c r="B26" s="5" t="inlineStr">
        <is>
          <t>untere-extremitaet</t>
        </is>
      </c>
      <c r="C26" s="5" t="inlineStr">
        <is>
          <t>knie</t>
        </is>
      </c>
      <c r="D26" s="5" t="inlineStr">
        <is>
          <t>knie,beuger,ischiokrural,huefte,strecker</t>
        </is>
      </c>
      <c r="E26" s="5" t="inlineStr">
        <is>
          <t>1</t>
        </is>
      </c>
      <c r="F26" s="5" t="inlineStr">
        <is>
          <t>Ischiokrurale Zerrungen betreffen besonders die Ursprungsregion am Tuber ischiadicum; das Hamstring-Syndrom bezeichnet chronische Beschwerden durch narbige Veränderungen der Ischiokruralen</t>
        </is>
      </c>
      <c r="G26" s="5" t="inlineStr">
        <is>
          <t>Lateral an der Oberschenkelrückseite palpierbar; die Sehne ist am Knieaußenrand oberhalb des Wadenbeinknochens sicher zu tasten</t>
        </is>
      </c>
      <c r="H26" s="5" t="inlineStr">
        <is>
          <t>Art. coxae, Art. genus</t>
        </is>
      </c>
      <c r="I26" s="5" t="inlineStr">
        <is>
          <t>Hüftextension, Knieflexion, Knie-Außenrotation</t>
        </is>
      </c>
      <c r="J26" s="5" t="inlineStr">
        <is>
          <t>N. tibialis, L5, S1, S2</t>
        </is>
      </c>
      <c r="K26" s="5" t="n"/>
      <c r="L26" s="5" t="n"/>
      <c r="M26" s="5" t="inlineStr">
        <is>
          <t>Tuber ischiadicum</t>
        </is>
      </c>
      <c r="N26" s="5" t="n"/>
      <c r="O26" s="5" t="n"/>
      <c r="P26" s="5" t="n"/>
      <c r="Q26" s="5" t="n"/>
      <c r="R26" s="5" t="n"/>
      <c r="S26" s="5" t="n"/>
      <c r="T26" s="5" t="inlineStr">
        <is>
          <t>Caput fibulae</t>
        </is>
      </c>
      <c r="U26" s="5" t="inlineStr">
        <is>
          <t>Condylus lateralis tibiae</t>
        </is>
      </c>
      <c r="V26" s="5" t="n"/>
      <c r="W26" s="5" t="inlineStr">
        <is>
          <t>Streckt die Hüfte (Extension in der Art. coxae) und beugt das Knie (Flexion in der Art. genus); bei gebeugtem Knie Außenrotation des Unterschenkels</t>
        </is>
      </c>
      <c r="X26" s="5" t="inlineStr">
        <is>
          <t>BodyParts3D, © DBCLS</t>
        </is>
      </c>
      <c r="Y26" s="5" t="inlineStr">
        <is>
          <t>CC BY 4.0</t>
        </is>
      </c>
      <c r="Z26" s="5" t="inlineStr">
        <is>
          <t>https://creativecommons.org/licenses/by/4.0/</t>
        </is>
      </c>
      <c r="AA26" s="5" t="n"/>
    </row>
    <row r="27" ht="15.9" customHeight="1" s="30">
      <c r="A27" s="5" t="inlineStr">
        <is>
          <t>M. semitendinosus</t>
        </is>
      </c>
      <c r="B27" s="5" t="inlineStr">
        <is>
          <t>untere-extremitaet</t>
        </is>
      </c>
      <c r="C27" s="5" t="inlineStr">
        <is>
          <t>knie</t>
        </is>
      </c>
      <c r="D27" s="5" t="inlineStr">
        <is>
          <t>knie,beuger,ischiokrural,huefte,strecker</t>
        </is>
      </c>
      <c r="E27" s="5" t="inlineStr">
        <is>
          <t>1</t>
        </is>
      </c>
      <c r="F27" s="5" t="inlineStr">
        <is>
          <t>Zerrungen entstehen typischerweise beim Sprint oder schnellen Antritt; die Sehne dient als autologes Transplantat (z.B. Semitendinosus-Plastik) bei vorderem Kreuzbandriss</t>
        </is>
      </c>
      <c r="G27" s="5" t="inlineStr">
        <is>
          <t>Medial an der Rückseite des Oberschenkels tastbar; die lange Sehne wird gut sichtbar, wenn das Knie gegen Widerstand gebeugt wird</t>
        </is>
      </c>
      <c r="H27" s="5" t="inlineStr">
        <is>
          <t>Art. coxae, Art. genus</t>
        </is>
      </c>
      <c r="I27" s="5" t="inlineStr">
        <is>
          <t>Hüftextension, Knieflexion, Knie-Innenrotation</t>
        </is>
      </c>
      <c r="J27" s="5" t="inlineStr">
        <is>
          <t>N. tibialis, L5, S1, S2</t>
        </is>
      </c>
      <c r="K27" s="5" t="n"/>
      <c r="L27" s="5" t="n"/>
      <c r="M27" s="5" t="inlineStr">
        <is>
          <t>Tuber ischiadicum</t>
        </is>
      </c>
      <c r="N27" s="5" t="n"/>
      <c r="O27" s="5" t="n"/>
      <c r="P27" s="5" t="n"/>
      <c r="Q27" s="5" t="n"/>
      <c r="R27" s="5" t="n"/>
      <c r="S27" s="5" t="n"/>
      <c r="T27" s="5" t="inlineStr">
        <is>
          <t>Tibia, Facies medialis (Pes anserinus)</t>
        </is>
      </c>
      <c r="U27" s="5" t="n"/>
      <c r="V27" s="5" t="n"/>
      <c r="W27" s="5" t="inlineStr">
        <is>
          <t>Streckt die Hüfte (Extension in der Art. coxae) und beugt das Knie (Flexion in der Art. genus); bei gebeugtem Knie Innenrotation des Unterschenkels</t>
        </is>
      </c>
      <c r="X27" s="5" t="inlineStr">
        <is>
          <t>BodyParts3D, © DBCLS</t>
        </is>
      </c>
      <c r="Y27" s="5" t="inlineStr">
        <is>
          <t>CC BY 4.0</t>
        </is>
      </c>
      <c r="Z27" s="5" t="inlineStr">
        <is>
          <t>https://creativecommons.org/licenses/by/4.0/</t>
        </is>
      </c>
      <c r="AA27" s="5" t="n"/>
    </row>
    <row r="28" ht="15.9" customHeight="1" s="30">
      <c r="A28" s="5" t="inlineStr">
        <is>
          <t>M. semimembranosus</t>
        </is>
      </c>
      <c r="B28" s="5" t="inlineStr">
        <is>
          <t>untere-extremitaet</t>
        </is>
      </c>
      <c r="C28" s="5" t="inlineStr">
        <is>
          <t>knie</t>
        </is>
      </c>
      <c r="D28" s="5" t="inlineStr">
        <is>
          <t>knie,beuger,ischiokrural,huefte,strecker</t>
        </is>
      </c>
      <c r="E28" s="5" t="inlineStr">
        <is>
          <t>1</t>
        </is>
      </c>
      <c r="F28" s="5" t="inlineStr">
        <is>
          <t>Wie Semitendinosus ischiokrural gefährdet; die semimembranosus-Sehne kann eine Baker-Zyste unterhalten, wenn sie bei Kniepathologien mechanisch reizt</t>
        </is>
      </c>
      <c r="G28" s="5" t="inlineStr">
        <is>
          <t>Tief medial unter dem Semitendinosus zu ertasten; der breitflächige Ansatz am medialen Tibiakondylus ist bei flektiertem Knie spaltbar vom Semitendinosus</t>
        </is>
      </c>
      <c r="H28" s="5" t="inlineStr">
        <is>
          <t>Art. coxae, Art. genus</t>
        </is>
      </c>
      <c r="I28" s="5" t="inlineStr">
        <is>
          <t>Hüftextension, Knieflexion, Knie-Innenrotation</t>
        </is>
      </c>
      <c r="J28" s="5" t="inlineStr">
        <is>
          <t>N. tibialis, L5, S1, S2</t>
        </is>
      </c>
      <c r="K28" s="5" t="n"/>
      <c r="L28" s="5" t="n"/>
      <c r="M28" s="5" t="inlineStr">
        <is>
          <t>Tuber ischiadicum</t>
        </is>
      </c>
      <c r="N28" s="5" t="n"/>
      <c r="O28" s="5" t="n"/>
      <c r="P28" s="5" t="n"/>
      <c r="Q28" s="5" t="n"/>
      <c r="R28" s="5" t="n"/>
      <c r="S28" s="5" t="n"/>
      <c r="T28" s="5" t="inlineStr">
        <is>
          <t>Condylus medialis tibiae</t>
        </is>
      </c>
      <c r="U28" s="5" t="inlineStr">
        <is>
          <t>Lig. popliteum obliquum</t>
        </is>
      </c>
      <c r="V28" s="5" t="n"/>
      <c r="W28" s="5" t="inlineStr">
        <is>
          <t>Streckt die Hüfte (Extension in der Art. coxae) und beugt das Knie (Flexion in der Art. genus); bei gebeugtem Knie Innenrotation des Unterschenkels; zieht den Meniscus lateralis nach dorsal</t>
        </is>
      </c>
      <c r="X28" s="5" t="inlineStr">
        <is>
          <t>BodyParts3D, © DBCLS</t>
        </is>
      </c>
      <c r="Y28" s="5" t="inlineStr">
        <is>
          <t>CC BY 4.0</t>
        </is>
      </c>
      <c r="Z28" s="5" t="inlineStr">
        <is>
          <t>https://creativecommons.org/licenses/by/4.0/</t>
        </is>
      </c>
      <c r="AA28" s="5" t="n"/>
    </row>
    <row r="29" ht="15.9" customHeight="1" s="30">
      <c r="A29" s="5" t="inlineStr">
        <is>
          <t>M. vastus medialis</t>
        </is>
      </c>
      <c r="B29" s="5" t="inlineStr">
        <is>
          <t>untere-extremitaet</t>
        </is>
      </c>
      <c r="C29" s="5" t="inlineStr">
        <is>
          <t>knie</t>
        </is>
      </c>
      <c r="D29" s="5" t="inlineStr">
        <is>
          <t>knie,strecker,quadriceps</t>
        </is>
      </c>
      <c r="E29" s="5" t="inlineStr">
        <is>
          <t>1</t>
        </is>
      </c>
      <c r="F29" s="5" t="inlineStr">
        <is>
          <t>VMO-Insuffizienz (vastus medialis oblique) begründet laterale Patellainstabilität und Patellaluxation; gezieltes Training des VMO ist Bestandteil vieler Knierehabilitationsprogramme</t>
        </is>
      </c>
      <c r="G29" s="5" t="inlineStr">
        <is>
          <t>Am medialen Oberschenkel kurz oberhalb der Kniescheibe tastbar; der schräg verlaufende Anteil (VMO) ist bei Kniestreckung besonders deutlich zu spüren</t>
        </is>
      </c>
      <c r="H29" s="5" t="inlineStr">
        <is>
          <t>Art. genus</t>
        </is>
      </c>
      <c r="I29" s="5" t="inlineStr">
        <is>
          <t>Knieextension</t>
        </is>
      </c>
      <c r="J29" s="5" t="inlineStr">
        <is>
          <t>N. femoralis, L2, L3, L4</t>
        </is>
      </c>
      <c r="K29" s="5" t="n"/>
      <c r="L29" s="5" t="n"/>
      <c r="M29" s="5" t="inlineStr">
        <is>
          <t>Labium mediale der Linea aspera (dorsomedial)</t>
        </is>
      </c>
      <c r="N29" s="5" t="n"/>
      <c r="O29" s="5" t="n"/>
      <c r="P29" s="5" t="n"/>
      <c r="Q29" s="5" t="n"/>
      <c r="R29" s="5" t="n"/>
      <c r="S29" s="5" t="n"/>
      <c r="T29" s="5" t="inlineStr">
        <is>
          <t>Tuberositas tibiae (via Patellarsehne), Retinaculum patellae</t>
        </is>
      </c>
      <c r="U29" s="5" t="n"/>
      <c r="V29" s="5" t="n"/>
      <c r="W29" s="5" t="inlineStr">
        <is>
          <t>Streckt das Knie (Extension in der Art. genus); der schräg verlaufende distale Anteil (VMO) stabilisiert die Patella nach medial</t>
        </is>
      </c>
      <c r="X29" s="5" t="inlineStr">
        <is>
          <t>BodyParts3D, © DBCLS</t>
        </is>
      </c>
      <c r="Y29" s="5" t="inlineStr">
        <is>
          <t>CC BY 4.0</t>
        </is>
      </c>
      <c r="Z29" s="5" t="inlineStr">
        <is>
          <t>https://creativecommons.org/licenses/by/4.0/</t>
        </is>
      </c>
      <c r="AA29" s="5" t="n"/>
    </row>
    <row r="30" ht="15.9" customHeight="1" s="30">
      <c r="A30" s="5" t="inlineStr">
        <is>
          <t>M. vastus intermedius</t>
        </is>
      </c>
      <c r="B30" s="5" t="inlineStr">
        <is>
          <t>untere-extremitaet</t>
        </is>
      </c>
      <c r="C30" s="5" t="inlineStr">
        <is>
          <t>knie</t>
        </is>
      </c>
      <c r="D30" s="5" t="inlineStr">
        <is>
          <t>knie,strecker,quadriceps</t>
        </is>
      </c>
      <c r="E30" s="5" t="inlineStr">
        <is>
          <t>2</t>
        </is>
      </c>
      <c r="F30" s="5" t="inlineStr">
        <is>
          <t>Ruptur der Quadricepssehne kann alle vier Köpfe betreffen; der Vastus intermedius liegt am tiefsten und ist diagnostisch oft erst in der MRT-Bildgebung beurteilbar</t>
        </is>
      </c>
      <c r="G30" s="5" t="inlineStr">
        <is>
          <t>Liegt vollständig unter dem Rectus femoris und ist einer direkten Palpation nicht zugänglich</t>
        </is>
      </c>
      <c r="H30" s="5" t="inlineStr">
        <is>
          <t>Art. genus</t>
        </is>
      </c>
      <c r="I30" s="5" t="inlineStr">
        <is>
          <t>Knieextension</t>
        </is>
      </c>
      <c r="J30" s="5" t="inlineStr">
        <is>
          <t>N. femoralis, L2, L3, L4</t>
        </is>
      </c>
      <c r="K30" s="5" t="n"/>
      <c r="L30" s="5" t="n"/>
      <c r="M30" s="5" t="inlineStr">
        <is>
          <t>Corpus femoris (ventral)</t>
        </is>
      </c>
      <c r="N30" s="5" t="n"/>
      <c r="O30" s="5" t="n"/>
      <c r="P30" s="5" t="n"/>
      <c r="Q30" s="5" t="n"/>
      <c r="R30" s="5" t="n"/>
      <c r="S30" s="5" t="n"/>
      <c r="T30" s="5" t="inlineStr">
        <is>
          <t>Tuberositas tibiae (via Patellarsehne), Retinaculum patellae</t>
        </is>
      </c>
      <c r="U30" s="5" t="n"/>
      <c r="V30" s="5" t="n"/>
      <c r="W30" s="5" t="inlineStr">
        <is>
          <t>Streckt das Knie (Extension in der Art. genus); bildet gemeinsam mit den anderen Quadricepsanteilen die Hauptkraft für die Knieextension</t>
        </is>
      </c>
      <c r="X30" s="5" t="inlineStr">
        <is>
          <t>BodyParts3D, © DBCLS</t>
        </is>
      </c>
      <c r="Y30" s="5" t="inlineStr">
        <is>
          <t>CC BY 4.0</t>
        </is>
      </c>
      <c r="Z30" s="5" t="inlineStr">
        <is>
          <t>https://creativecommons.org/licenses/by/4.0/</t>
        </is>
      </c>
      <c r="AA30" s="5" t="n"/>
    </row>
    <row r="31" ht="15.9" customHeight="1" s="30">
      <c r="A31" s="5" t="inlineStr">
        <is>
          <t>M. vastus lateralis</t>
        </is>
      </c>
      <c r="B31" s="5" t="inlineStr">
        <is>
          <t>untere-extremitaet</t>
        </is>
      </c>
      <c r="C31" s="5" t="inlineStr">
        <is>
          <t>knie</t>
        </is>
      </c>
      <c r="D31" s="5" t="inlineStr">
        <is>
          <t>knie,strecker,quadriceps</t>
        </is>
      </c>
      <c r="E31" s="5" t="inlineStr">
        <is>
          <t>1</t>
        </is>
      </c>
      <c r="F31" s="5" t="inlineStr">
        <is>
          <t>Bei Tractus-iliotibialis-Syndrom kann der verdickte Tractus auf den Vastus lateralis Druck ausüben; auch bei vorderem Knieschmerz und Patelladysplasie klinisch relevant</t>
        </is>
      </c>
      <c r="G31" s="5" t="inlineStr">
        <is>
          <t>Seitlich am Oberschenkel gut tastbar; als breite Muskelmasse von Trochanter major bis zur Patella palpierbar</t>
        </is>
      </c>
      <c r="H31" s="5" t="inlineStr">
        <is>
          <t>Art. genus</t>
        </is>
      </c>
      <c r="I31" s="5" t="inlineStr">
        <is>
          <t>Knieextension</t>
        </is>
      </c>
      <c r="J31" s="5" t="inlineStr">
        <is>
          <t>N. femoralis, L2, L3, L4</t>
        </is>
      </c>
      <c r="K31" s="5" t="n"/>
      <c r="L31" s="5" t="n"/>
      <c r="M31" s="5" t="inlineStr">
        <is>
          <t>Trochanter major und Labium laterale der Linea aspera (dorsolateral)</t>
        </is>
      </c>
      <c r="N31" s="5" t="n"/>
      <c r="O31" s="5" t="n"/>
      <c r="P31" s="5" t="n"/>
      <c r="Q31" s="5" t="n"/>
      <c r="R31" s="5" t="n"/>
      <c r="S31" s="5" t="n"/>
      <c r="T31" s="5" t="inlineStr">
        <is>
          <t>Tuberositas tibiae (via Patellarsehne), Retinaculum patellae</t>
        </is>
      </c>
      <c r="U31" s="5" t="n"/>
      <c r="V31" s="5" t="n"/>
      <c r="W31" s="5" t="inlineStr">
        <is>
          <t>Streckt das Knie (Extension in der Art. genus); beeinflusst die Patellastellung über das laterale Retinaculum</t>
        </is>
      </c>
      <c r="X31" s="5" t="inlineStr">
        <is>
          <t>BodyParts3D, © DBCLS</t>
        </is>
      </c>
      <c r="Y31" s="5" t="inlineStr">
        <is>
          <t>CC BY 4.0</t>
        </is>
      </c>
      <c r="Z31" s="5" t="inlineStr">
        <is>
          <t>https://creativecommons.org/licenses/by/4.0/</t>
        </is>
      </c>
      <c r="AA31" s="5" t="n"/>
    </row>
    <row r="32" ht="15.9" customHeight="1" s="30">
      <c r="A32" s="5" t="inlineStr">
        <is>
          <t>M. biceps femoris – Caput breve</t>
        </is>
      </c>
      <c r="B32" s="5" t="inlineStr">
        <is>
          <t>untere-extremitaet</t>
        </is>
      </c>
      <c r="C32" s="5" t="inlineStr">
        <is>
          <t>knie</t>
        </is>
      </c>
      <c r="D32" s="5" t="inlineStr">
        <is>
          <t>knie,beuger,aussenrotator</t>
        </is>
      </c>
      <c r="E32" s="5" t="inlineStr">
        <is>
          <t>2</t>
        </is>
      </c>
      <c r="F32" s="5" t="inlineStr">
        <is>
          <t>Klinisch selten isoliert betrachtet; gehört der ischiokruralen Gruppe an; bei N.-peroneus-communis-Läsion kann die Außenrotationsfähigkeit des Kniegelenks eingeschränkt sein</t>
        </is>
      </c>
      <c r="G32" s="5" t="inlineStr">
        <is>
          <t>Dorsolateral am Oberschenkel distal palpierbar; die Sehne ist am Wadenbeinknochenkopf zu tasten</t>
        </is>
      </c>
      <c r="H32" s="5" t="inlineStr">
        <is>
          <t>Art. genus</t>
        </is>
      </c>
      <c r="I32" s="5" t="inlineStr">
        <is>
          <t>Knieflexion, Knie-Außenrotation</t>
        </is>
      </c>
      <c r="J32" s="5" t="inlineStr">
        <is>
          <t>N. peroneus communis, L5, S1, S2</t>
        </is>
      </c>
      <c r="K32" s="5" t="n"/>
      <c r="L32" s="5" t="n"/>
      <c r="M32" s="5" t="inlineStr">
        <is>
          <t>Linea aspera des Femur (mittlerer Teil)</t>
        </is>
      </c>
      <c r="N32" s="5" t="n"/>
      <c r="O32" s="5" t="n"/>
      <c r="P32" s="5" t="n"/>
      <c r="Q32" s="5" t="n"/>
      <c r="R32" s="5" t="n"/>
      <c r="S32" s="5" t="n"/>
      <c r="T32" s="5" t="inlineStr">
        <is>
          <t>Caput fibulae</t>
        </is>
      </c>
      <c r="U32" s="5" t="n"/>
      <c r="V32" s="5" t="n"/>
      <c r="W32" s="5" t="inlineStr">
        <is>
          <t>Beugt das Knie (Flexion in der Art. genus); dreht den Unterschenkel bei gebeugtem Knie nach außen (Außenrotation)</t>
        </is>
      </c>
      <c r="X32" s="5" t="inlineStr">
        <is>
          <t>BodyParts3D, © DBCLS</t>
        </is>
      </c>
      <c r="Y32" s="5" t="inlineStr">
        <is>
          <t>CC BY 4.0</t>
        </is>
      </c>
      <c r="Z32" s="5" t="inlineStr">
        <is>
          <t>https://creativecommons.org/licenses/by/4.0/</t>
        </is>
      </c>
      <c r="AA32" s="5" t="n"/>
    </row>
    <row r="33" ht="15.9" customHeight="1" s="30">
      <c r="A33" s="5" t="inlineStr">
        <is>
          <t>M. articularis genus</t>
        </is>
      </c>
      <c r="B33" s="5" t="inlineStr">
        <is>
          <t>untere-extremitaet</t>
        </is>
      </c>
      <c r="C33" s="5" t="inlineStr">
        <is>
          <t>knie</t>
        </is>
      </c>
      <c r="D33" s="5" t="inlineStr">
        <is>
          <t>knie,kapselspanner</t>
        </is>
      </c>
      <c r="E33" s="5" t="inlineStr">
        <is>
          <t>3</t>
        </is>
      </c>
      <c r="F33" s="5" t="inlineStr">
        <is>
          <t>Verhindert das Einklemmen des Recessus suprapatellaris bei aktiver Kniestreckung; klinisch kaum isoliert untersuchbar, aber bei rezidivierenden Kniebeschwerden relevant</t>
        </is>
      </c>
      <c r="G33" s="5" t="inlineStr">
        <is>
          <t>Liegt vollständig unter dem M. vastus intermedius; klinisch nicht palpierbar</t>
        </is>
      </c>
      <c r="H33" s="5" t="inlineStr">
        <is>
          <t>Art. genus</t>
        </is>
      </c>
      <c r="I33" s="5" t="inlineStr">
        <is>
          <t>Kapselspannung</t>
        </is>
      </c>
      <c r="J33" s="5" t="inlineStr">
        <is>
          <t>N. femoralis, L3, L4</t>
        </is>
      </c>
      <c r="K33" s="5" t="n"/>
      <c r="L33" s="5" t="n"/>
      <c r="M33" s="5" t="inlineStr">
        <is>
          <t>Corpus femoris (ventral)</t>
        </is>
      </c>
      <c r="N33" s="5" t="n"/>
      <c r="O33" s="5" t="n"/>
      <c r="P33" s="5" t="n"/>
      <c r="Q33" s="5" t="n"/>
      <c r="R33" s="5" t="n"/>
      <c r="S33" s="5" t="n"/>
      <c r="T33" s="5" t="inlineStr">
        <is>
          <t>Kniegelenkkapsel (Recessus suprapatellaris)</t>
        </is>
      </c>
      <c r="U33" s="5" t="n"/>
      <c r="V33" s="5" t="n"/>
      <c r="W33" s="5" t="inlineStr">
        <is>
          <t>Spannt die Kniegelenkkapsel im Recessus suprapatellaris (verhindert Einklemmen bei Kniestreckung)</t>
        </is>
      </c>
      <c r="X33" s="5" t="inlineStr">
        <is>
          <t>BodyParts3D, © DBCLS</t>
        </is>
      </c>
      <c r="Y33" s="5" t="inlineStr">
        <is>
          <t>CC BY 4.0</t>
        </is>
      </c>
      <c r="Z33" s="5" t="inlineStr">
        <is>
          <t>https://creativecommons.org/licenses/by/4.0/</t>
        </is>
      </c>
      <c r="AA33" s="5" t="n"/>
    </row>
    <row r="34" ht="15.9" customHeight="1" s="30">
      <c r="A34" s="5" t="inlineStr">
        <is>
          <t>M. popliteus</t>
        </is>
      </c>
      <c r="B34" s="5" t="inlineStr">
        <is>
          <t>untere-extremitaet</t>
        </is>
      </c>
      <c r="C34" s="5" t="inlineStr">
        <is>
          <t>knie</t>
        </is>
      </c>
      <c r="D34" s="5" t="inlineStr">
        <is>
          <t>knie,beuger,innenrotator</t>
        </is>
      </c>
      <c r="E34" s="5" t="inlineStr">
        <is>
          <t>2</t>
        </is>
      </c>
      <c r="F34" s="5" t="inlineStr">
        <is>
          <t>Gilt als Schlüssel zur Kniebeweglichkeit: Er ‘entriegelt’ das voll gestreckte Knie durch Innenrotation, bevor eine Flexion möglich ist; Verletzungen können Knieblockaden verursachen</t>
        </is>
      </c>
      <c r="G34" s="5" t="inlineStr">
        <is>
          <t>In der Fossa poplitea tief tastbar; am besten bei leicht gebeugtem Knie; die Sehne ist lateral des medialen Gastrocnemiuskopfes zu ertasten</t>
        </is>
      </c>
      <c r="H34" s="5" t="inlineStr">
        <is>
          <t>Art. genus</t>
        </is>
      </c>
      <c r="I34" s="5" t="inlineStr">
        <is>
          <t>Knieflexion, Knie-Innenrotation</t>
        </is>
      </c>
      <c r="J34" s="5" t="inlineStr">
        <is>
          <t>N. tibialis, L4, L5, S1</t>
        </is>
      </c>
      <c r="K34" s="5" t="n"/>
      <c r="L34" s="5" t="n"/>
      <c r="M34" s="5" t="inlineStr">
        <is>
          <t>Epicondylus lateralis femoris, Hinterseite der Gelenkkapsel, Meniscus lateralis</t>
        </is>
      </c>
      <c r="N34" s="5" t="n"/>
      <c r="O34" s="5" t="n"/>
      <c r="P34" s="5" t="n"/>
      <c r="Q34" s="5" t="n"/>
      <c r="R34" s="5" t="n"/>
      <c r="S34" s="5" t="n"/>
      <c r="T34" s="5" t="inlineStr">
        <is>
          <t>Tibia, Facies posterior</t>
        </is>
      </c>
      <c r="U34" s="5" t="n"/>
      <c r="V34" s="5" t="n"/>
      <c r="W34" s="5" t="inlineStr">
        <is>
          <t>Beugt das Knie (Flexion in der Art. genus) und entriegelt die Vollextension durch Innenrotation des Unterschenkels; zieht den lateralen Meniskus nach dorsal</t>
        </is>
      </c>
      <c r="X34" s="5" t="inlineStr">
        <is>
          <t>BodyParts3D, © DBCLS</t>
        </is>
      </c>
      <c r="Y34" s="5" t="inlineStr">
        <is>
          <t>CC BY 4.0</t>
        </is>
      </c>
      <c r="Z34" s="5" t="inlineStr">
        <is>
          <t>https://creativecommons.org/licenses/by/4.0/</t>
        </is>
      </c>
      <c r="AA34" s="5" t="n"/>
    </row>
    <row r="35">
      <c r="A35" s="12" t="inlineStr">
        <is>
          <t>── FUSS ──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>
      <c r="A36" s="14" t="inlineStr">
        <is>
          <t>M. gastrocnemius</t>
        </is>
      </c>
      <c r="B36" s="14" t="inlineStr">
        <is>
          <t>untere-extremitaet</t>
        </is>
      </c>
      <c r="C36" s="14" t="inlineStr">
        <is>
          <t>fuss</t>
        </is>
      </c>
      <c r="D36" s="14" t="inlineStr">
        <is>
          <t>fuss,wadenmuskeln,plantarflexion,knie,beuger</t>
        </is>
      </c>
      <c r="E36" s="14" t="n">
        <v>1</v>
      </c>
      <c r="F36" s="14" t="inlineStr">
        <is>
          <t>Wadenkrämpfe entstehen häufig durch Erschöpfung oder Elektrolytmangel; Achillessehnenrupturen treffen oft den Übergang zwischen Muskel und Sehne; als Suralispumpe fördert er venoses Blut herzwärts</t>
        </is>
      </c>
      <c r="G36" s="14" t="inlineStr">
        <is>
          <t>Medialer und lateraler Muskelbauch gut in der Wadenregion palpierbar; zwischen den beiden Köpfen verläuft eine tastbare Rinne</t>
        </is>
      </c>
      <c r="H36" s="14" t="inlineStr">
        <is>
          <t>Art. genus, Art. talocruralis</t>
        </is>
      </c>
      <c r="I36" s="14" t="inlineStr">
        <is>
          <t>Knie: Flexion; Fuß: Plantarflexion, Supination</t>
        </is>
      </c>
      <c r="J36" s="14" t="inlineStr">
        <is>
          <t>N. tibialis</t>
        </is>
      </c>
      <c r="K36" s="14" t="n"/>
      <c r="L36" s="14" t="inlineStr">
        <is>
          <t>Caput mediale</t>
        </is>
      </c>
      <c r="M36" s="14" t="inlineStr">
        <is>
          <t>Femur, Facies poplitea, Condylus medialis</t>
        </is>
      </c>
      <c r="N36" s="14" t="inlineStr">
        <is>
          <t>Caput laterale</t>
        </is>
      </c>
      <c r="O36" s="14" t="inlineStr">
        <is>
          <t>Femur, Facies poplitea, Condylus lateralis</t>
        </is>
      </c>
      <c r="P36" s="14" t="n"/>
      <c r="Q36" s="14" t="n"/>
      <c r="R36" s="14" t="n"/>
      <c r="S36" s="14" t="n"/>
      <c r="T36" s="14" t="inlineStr">
        <is>
          <t>Tuber calcanei (über Achillessehne)</t>
        </is>
      </c>
      <c r="U36" s="14" t="n"/>
      <c r="V36" s="14" t="n"/>
      <c r="W36" s="14" t="inlineStr">
        <is>
          <t>Beugt das Knie und plantarflektiert den Fuß; unterstützt die Supination; sorgt als zweigelenkiger Muskel für die Kraftentfaltung beim Zehenstand und Abstoßen</t>
        </is>
      </c>
      <c r="X36" s="14" t="inlineStr">
        <is>
          <t>BodyParts3D, © DBCLS</t>
        </is>
      </c>
      <c r="Y36" s="14" t="inlineStr">
        <is>
          <t>CC BY 4.0</t>
        </is>
      </c>
      <c r="Z36" s="14" t="inlineStr">
        <is>
          <t>https://creativecommons.org/licenses/by/4.0/</t>
        </is>
      </c>
      <c r="AA36" s="14" t="n"/>
    </row>
    <row r="37">
      <c r="A37" s="14" t="inlineStr">
        <is>
          <t>M. soleus</t>
        </is>
      </c>
      <c r="B37" s="14" t="inlineStr">
        <is>
          <t>untere-extremitaet</t>
        </is>
      </c>
      <c r="C37" s="14" t="inlineStr">
        <is>
          <t>fuss</t>
        </is>
      </c>
      <c r="D37" s="14" t="inlineStr">
        <is>
          <t>fuss,wadenmuskeln,plantarflexion</t>
        </is>
      </c>
      <c r="E37" s="14" t="n">
        <v>1</v>
      </c>
      <c r="F37" s="14" t="inlineStr">
        <is>
          <t>Bedeutsam als tiefe Beinvene verlaufende Muskelpumpe bei der Thromboseprophylaxe; Achillessehnenruptur und posteriores Kompartmentsyndrom betreffen auch den Soleus</t>
        </is>
      </c>
      <c r="G37" s="14" t="inlineStr">
        <is>
          <t>Unterhalb des Gastrocnemius in der Wadenregion palpierbar; der breite Muskelbauch tritt seitlich unter dem Gastrocnemius hervor</t>
        </is>
      </c>
      <c r="H37" s="14" t="inlineStr">
        <is>
          <t>Art. talocruralis</t>
        </is>
      </c>
      <c r="I37" s="14" t="inlineStr">
        <is>
          <t>Fuß: Plantarflexion, Supination</t>
        </is>
      </c>
      <c r="J37" s="14" t="inlineStr">
        <is>
          <t>N. tibialis</t>
        </is>
      </c>
      <c r="K37" s="14" t="n"/>
      <c r="L37" s="14" t="n"/>
      <c r="M37" s="14" t="inlineStr">
        <is>
          <t>Dorsale Tibia, Fibula und Arcus tendineus</t>
        </is>
      </c>
      <c r="N37" s="14" t="n"/>
      <c r="O37" s="14" t="n"/>
      <c r="P37" s="14" t="n"/>
      <c r="Q37" s="14" t="n"/>
      <c r="R37" s="14" t="n"/>
      <c r="S37" s="14" t="n"/>
      <c r="T37" s="14" t="inlineStr">
        <is>
          <t>Tuber calcanei (über Achillessehne)</t>
        </is>
      </c>
      <c r="U37" s="14" t="n"/>
      <c r="V37" s="14" t="n"/>
      <c r="W37" s="14" t="inlineStr">
        <is>
          <t>Plantarflektiert den Fuß unabhängig von der Kniestellung; supiniert; als stärkster Plantarflexor ist er beim Gehen, Laufen und Treppensteigen essentiell</t>
        </is>
      </c>
      <c r="X37" s="14" t="inlineStr">
        <is>
          <t>BodyParts3D, © DBCLS</t>
        </is>
      </c>
      <c r="Y37" s="14" t="inlineStr">
        <is>
          <t>CC BY 4.0</t>
        </is>
      </c>
      <c r="Z37" s="14" t="inlineStr">
        <is>
          <t>https://creativecommons.org/licenses/by/4.0/</t>
        </is>
      </c>
      <c r="AA37" s="14" t="n"/>
    </row>
    <row r="38">
      <c r="A38" s="14" t="inlineStr">
        <is>
          <t>M. plantaris</t>
        </is>
      </c>
      <c r="B38" s="14" t="inlineStr">
        <is>
          <t>untere-extremitaet</t>
        </is>
      </c>
      <c r="C38" s="14" t="inlineStr">
        <is>
          <t>fuss</t>
        </is>
      </c>
      <c r="D38" s="14" t="inlineStr">
        <is>
          <t>fuss,wadenmuskeln,plantarflexion,variabel</t>
        </is>
      </c>
      <c r="E38" s="14" t="n">
        <v>3</v>
      </c>
      <c r="F38" s="14" t="inlineStr">
        <is>
          <t>Fehlt bei etwa 15 % der Bevölkerung; seine dünne Sehne ist als Transplantatmaterial beliebt (z.B. für Bandrekonstruktionen); klinisch selten symptomatisch</t>
        </is>
      </c>
      <c r="G38" s="14" t="inlineStr">
        <is>
          <t>Die sehr feine Sehne ist in der Fossa poplitea zwischen Gastrocnemius und Soleus kaum sicher palpierbar</t>
        </is>
      </c>
      <c r="H38" s="14" t="inlineStr">
        <is>
          <t>Art. genus, Art. talocruralis</t>
        </is>
      </c>
      <c r="I38" s="14" t="inlineStr">
        <is>
          <t>Knie: Flexion; Fuß: Plantarflexion, Supination</t>
        </is>
      </c>
      <c r="J38" s="14" t="inlineStr">
        <is>
          <t>N. tibialis</t>
        </is>
      </c>
      <c r="K38" s="14" t="n"/>
      <c r="L38" s="14" t="n"/>
      <c r="M38" s="14" t="inlineStr">
        <is>
          <t>Femur, Facies poplitea</t>
        </is>
      </c>
      <c r="N38" s="14" t="n"/>
      <c r="O38" s="14" t="n"/>
      <c r="P38" s="14" t="n"/>
      <c r="Q38" s="14" t="n"/>
      <c r="R38" s="14" t="n"/>
      <c r="S38" s="14" t="n"/>
      <c r="T38" s="14" t="inlineStr">
        <is>
          <t>Tuber calcanei</t>
        </is>
      </c>
      <c r="U38" s="14" t="n"/>
      <c r="V38" s="14" t="n"/>
      <c r="W38" s="14" t="inlineStr">
        <is>
          <t>Schwächer Plantarflexor und Kniebeuger; bei fehlendem Muskel übernehmen Gastrocnemius und Soleus vollständig seine Funktion</t>
        </is>
      </c>
      <c r="X38" s="14" t="inlineStr">
        <is>
          <t>BodyParts3D, © DBCLS</t>
        </is>
      </c>
      <c r="Y38" s="14" t="inlineStr">
        <is>
          <t>CC BY 4.0</t>
        </is>
      </c>
      <c r="Z38" s="14" t="inlineStr">
        <is>
          <t>https://creativecommons.org/licenses/by/4.0/</t>
        </is>
      </c>
      <c r="AA38" s="14" t="n"/>
    </row>
    <row r="39">
      <c r="A39" s="14" t="inlineStr">
        <is>
          <t>M. tibialis anterior</t>
        </is>
      </c>
      <c r="B39" s="14" t="inlineStr">
        <is>
          <t>untere-extremitaet</t>
        </is>
      </c>
      <c r="C39" s="14" t="inlineStr">
        <is>
          <t>fuss</t>
        </is>
      </c>
      <c r="D39" s="14" t="inlineStr">
        <is>
          <t>fuss,dorsalextension,supination,vorderer-unterschenkel</t>
        </is>
      </c>
      <c r="E39" s="14" t="n">
        <v>1</v>
      </c>
      <c r="F39" s="14" t="inlineStr">
        <is>
          <t>Bei N.-peroneus-profundus-Parese entsteht eine Fußheberschwäche (Fallfuß); bei Kompartmentsyndrom des vorderen Loge ist dieser Muskel besonders betroffen</t>
        </is>
      </c>
      <c r="G39" s="14" t="inlineStr">
        <is>
          <t>Anterolateral an der Tibia leicht tastbar; bei Dorsalextension gegen Widerstand ist die Sehne als prominenter Strang auf dem Fußrücken sichtbar</t>
        </is>
      </c>
      <c r="H39" s="14" t="inlineStr">
        <is>
          <t>Art. talocruralis, Art. subtalaris</t>
        </is>
      </c>
      <c r="I39" s="14" t="inlineStr">
        <is>
          <t>Fuß: Dorsalextension, Supination; Unterstützung des Fußgewölbes</t>
        </is>
      </c>
      <c r="J39" s="14" t="inlineStr">
        <is>
          <t>N. peroneus profundus</t>
        </is>
      </c>
      <c r="K39" s="14" t="n"/>
      <c r="L39" s="14" t="n"/>
      <c r="M39" s="14" t="inlineStr">
        <is>
          <t>Tibia, Condylus und Facies lateralis (proximal); Membrana interossea</t>
        </is>
      </c>
      <c r="N39" s="14" t="n"/>
      <c r="O39" s="14" t="n"/>
      <c r="P39" s="14" t="n"/>
      <c r="Q39" s="14" t="n"/>
      <c r="R39" s="14" t="n"/>
      <c r="S39" s="14" t="n"/>
      <c r="T39" s="14" t="inlineStr">
        <is>
          <t>Os cuneiforme I und Os metatarsale I (Basis)</t>
        </is>
      </c>
      <c r="U39" s="14" t="n"/>
      <c r="V39" s="14" t="n"/>
      <c r="W39" s="14" t="inlineStr">
        <is>
          <t>Hebt den Fuß (Dorsalextension) und supiniert; stützt das mediale Längsgewölbe; bei der Gangabwicklung verhindert er das Fußaufklappen</t>
        </is>
      </c>
      <c r="X39" s="14" t="inlineStr">
        <is>
          <t>BodyParts3D, © DBCLS</t>
        </is>
      </c>
      <c r="Y39" s="14" t="inlineStr">
        <is>
          <t>CC BY 4.0</t>
        </is>
      </c>
      <c r="Z39" s="14" t="inlineStr">
        <is>
          <t>https://creativecommons.org/licenses/by/4.0/</t>
        </is>
      </c>
      <c r="AA39" s="14" t="n"/>
    </row>
    <row r="40">
      <c r="A40" s="14" t="inlineStr">
        <is>
          <t>M. tibialis posterior</t>
        </is>
      </c>
      <c r="B40" s="14" t="inlineStr">
        <is>
          <t>untere-extremitaet</t>
        </is>
      </c>
      <c r="C40" s="14" t="inlineStr">
        <is>
          <t>fuss</t>
        </is>
      </c>
      <c r="D40" s="14" t="inlineStr">
        <is>
          <t>fuss,plantarflexion,supination,tiefer-beugerloge</t>
        </is>
      </c>
      <c r="E40" s="14" t="n">
        <v>2</v>
      </c>
      <c r="F40" s="14" t="inlineStr">
        <is>
          <t>Insuffizienz führt zum Kollaps des medialen Gewölbes und progressivem Plattfuß; Tarsaltunnelsyndrom kann den N. tibialis hinter dem Innenknöchel einklemmen</t>
        </is>
      </c>
      <c r="G40" s="14" t="inlineStr">
        <is>
          <t>Die Sehne ist hinter dem Innenknöchel in der Rinne zwischen Malleolus medialis und Achillessehne tastbar; am besten bei Supination und Plantarflexion</t>
        </is>
      </c>
      <c r="H40" s="14" t="inlineStr">
        <is>
          <t>Art. talocruralis, Art. subtalaris</t>
        </is>
      </c>
      <c r="I40" s="14" t="inlineStr">
        <is>
          <t>Fuß: Plantarflexion, Supination</t>
        </is>
      </c>
      <c r="J40" s="14" t="inlineStr">
        <is>
          <t>N. tibialis</t>
        </is>
      </c>
      <c r="K40" s="14" t="n"/>
      <c r="L40" s="14" t="n"/>
      <c r="M40" s="14" t="inlineStr">
        <is>
          <t>Facies posterior tibiae et fibulae und Membrana interossea</t>
        </is>
      </c>
      <c r="N40" s="14" t="n"/>
      <c r="O40" s="14" t="n"/>
      <c r="P40" s="14" t="n"/>
      <c r="Q40" s="14" t="n"/>
      <c r="R40" s="14" t="n"/>
      <c r="S40" s="14" t="n"/>
      <c r="T40" s="14" t="inlineStr">
        <is>
          <t>Os naviculare (Tuberositas), Ossa cuneiformia (plantare Seite)</t>
        </is>
      </c>
      <c r="U40" s="14" t="inlineStr">
        <is>
          <t>Os cuboideum und Os metatarsale II–IV (Basis)</t>
        </is>
      </c>
      <c r="V40" s="14" t="n"/>
      <c r="W40" s="14" t="inlineStr">
        <is>
          <t>Plantarflektiert und supiniert den Fuß; wichtigster statischer und dynamischer Stabilisator des medialen Längsgewölbes</t>
        </is>
      </c>
      <c r="X40" s="14" t="inlineStr">
        <is>
          <t>BodyParts3D, © DBCLS</t>
        </is>
      </c>
      <c r="Y40" s="14" t="inlineStr">
        <is>
          <t>CC BY 4.0</t>
        </is>
      </c>
      <c r="Z40" s="14" t="inlineStr">
        <is>
          <t>https://creativecommons.org/licenses/by/4.0/</t>
        </is>
      </c>
      <c r="AA40" s="14" t="n"/>
    </row>
    <row r="41">
      <c r="A41" s="14" t="inlineStr">
        <is>
          <t>M. fibularis longus (M. peroneus longus)</t>
        </is>
      </c>
      <c r="B41" s="14" t="inlineStr">
        <is>
          <t>untere-extremitaet</t>
        </is>
      </c>
      <c r="C41" s="14" t="inlineStr">
        <is>
          <t>fuss</t>
        </is>
      </c>
      <c r="D41" s="14" t="inlineStr">
        <is>
          <t>fuss,plantarflexion,pronation,lateraler-unterschenkel,peroneus</t>
        </is>
      </c>
      <c r="E41" s="14" t="n">
        <v>1</v>
      </c>
      <c r="F41" s="14" t="inlineStr">
        <is>
          <t>Peronealsehnenruptur und -luxation entstehen oft durch Supinationstrauma; am lateralen Fuß kann die Sehne hinter dem Außenknöchel aus ihrem Kanal springen (Luxation)</t>
        </is>
      </c>
      <c r="G41" s="14" t="inlineStr">
        <is>
          <t>Entlang der lateralen Fibula gut tastbar; die Sehne ist hinter dem Außenknöchel bei Pronation deutlich zu verfolgen</t>
        </is>
      </c>
      <c r="H41" s="14" t="inlineStr">
        <is>
          <t>Art. talocruralis, Art. subtalaris</t>
        </is>
      </c>
      <c r="I41" s="14" t="inlineStr">
        <is>
          <t>Fuß: Plantarflexion, Pronation</t>
        </is>
      </c>
      <c r="J41" s="14" t="inlineStr">
        <is>
          <t>N. peroneus superficialis</t>
        </is>
      </c>
      <c r="K41" s="14" t="n"/>
      <c r="L41" s="14" t="n"/>
      <c r="M41" s="14" t="inlineStr">
        <is>
          <t>Condylus lateralis tibiae, Caput fibulae und Facies lateralis fibulae (proximal)</t>
        </is>
      </c>
      <c r="N41" s="14" t="n"/>
      <c r="O41" s="14" t="n"/>
      <c r="P41" s="14" t="n"/>
      <c r="Q41" s="14" t="n"/>
      <c r="R41" s="14" t="n"/>
      <c r="S41" s="14" t="n"/>
      <c r="T41" s="14" t="inlineStr">
        <is>
          <t>Os cuneiforme I und Os metatarsale I (Tuberositas, plantar)</t>
        </is>
      </c>
      <c r="U41" s="14" t="n"/>
      <c r="V41" s="14" t="n"/>
      <c r="W41" s="14" t="inlineStr">
        <is>
          <t>Plantarflektiert und proniert den Fuß; verspannt das Quergewölbe durch seinen diagonalen Verlauf auf der Fußsohle</t>
        </is>
      </c>
      <c r="X41" s="14" t="inlineStr">
        <is>
          <t>BodyParts3D, © DBCLS</t>
        </is>
      </c>
      <c r="Y41" s="14" t="inlineStr">
        <is>
          <t>CC BY 4.0</t>
        </is>
      </c>
      <c r="Z41" s="14" t="inlineStr">
        <is>
          <t>https://creativecommons.org/licenses/by/4.0/</t>
        </is>
      </c>
      <c r="AA41" s="14" t="n"/>
    </row>
    <row r="42">
      <c r="A42" s="14" t="inlineStr">
        <is>
          <t>M. fibularis brevis (M. peroneus brevis)</t>
        </is>
      </c>
      <c r="B42" s="14" t="inlineStr">
        <is>
          <t>untere-extremitaet</t>
        </is>
      </c>
      <c r="C42" s="14" t="inlineStr">
        <is>
          <t>fuss</t>
        </is>
      </c>
      <c r="D42" s="14" t="inlineStr">
        <is>
          <t>fuss,plantarflexion,pronation,lateraler-unterschenkel,peroneus</t>
        </is>
      </c>
      <c r="E42" s="14" t="n">
        <v>1</v>
      </c>
      <c r="F42" s="14" t="inlineStr">
        <is>
          <t>Avulsionsfraktur an der Tuberositas ossis metatarsalis V entsteht typischerweise bei Supinationstrauma durch Zug der Peroneus-brevis-Sehne; Peronealsehnenruptur ebenfalls möglich</t>
        </is>
      </c>
      <c r="G42" s="14" t="inlineStr">
        <is>
          <t>Distale Fibula lateral tastbar; die Sehne läuft hinter dem Außenknöchel (ventral der Peroneus-longus-Sehne) und endet am 5. Mittelfußknochen</t>
        </is>
      </c>
      <c r="H42" s="14" t="inlineStr">
        <is>
          <t>Art. talocruralis, Art. subtalaris</t>
        </is>
      </c>
      <c r="I42" s="14" t="inlineStr">
        <is>
          <t>Fuß: Plantarflexion, Pronation</t>
        </is>
      </c>
      <c r="J42" s="14" t="inlineStr">
        <is>
          <t>N. peroneus superficialis</t>
        </is>
      </c>
      <c r="K42" s="14" t="n"/>
      <c r="L42" s="14" t="n"/>
      <c r="M42" s="14" t="inlineStr">
        <is>
          <t>Facies lateralis fibulae (distal)</t>
        </is>
      </c>
      <c r="N42" s="14" t="n"/>
      <c r="O42" s="14" t="n"/>
      <c r="P42" s="14" t="n"/>
      <c r="Q42" s="14" t="n"/>
      <c r="R42" s="14" t="n"/>
      <c r="S42" s="14" t="n"/>
      <c r="T42" s="14" t="inlineStr">
        <is>
          <t>Os metatarsale V (Tuberositas)</t>
        </is>
      </c>
      <c r="U42" s="14" t="n"/>
      <c r="V42" s="14" t="n"/>
      <c r="W42" s="14" t="inlineStr">
        <is>
          <t>Plantarflektiert und proniert den Fuß; wichtig für die seitliche Fußstabilisierung</t>
        </is>
      </c>
      <c r="X42" s="14" t="inlineStr">
        <is>
          <t>BodyParts3D, © DBCLS</t>
        </is>
      </c>
      <c r="Y42" s="14" t="inlineStr">
        <is>
          <t>CC BY 4.0</t>
        </is>
      </c>
      <c r="Z42" s="14" t="inlineStr">
        <is>
          <t>https://creativecommons.org/licenses/by/4.0/</t>
        </is>
      </c>
      <c r="AA42" s="14" t="n"/>
    </row>
    <row r="43">
      <c r="A43" s="14" t="inlineStr">
        <is>
          <t>M. extensor digitorum longus</t>
        </is>
      </c>
      <c r="B43" s="14" t="inlineStr">
        <is>
          <t>untere-extremitaet</t>
        </is>
      </c>
      <c r="C43" s="14" t="inlineStr">
        <is>
          <t>fuss</t>
        </is>
      </c>
      <c r="D43" s="14" t="inlineStr">
        <is>
          <t>fuss,dorsalextension,pronation,zehenextension,vorderer-unterschenkel</t>
        </is>
      </c>
      <c r="E43" s="14" t="n">
        <v>1</v>
      </c>
      <c r="F43" s="14" t="inlineStr">
        <is>
          <t>Bei N.-peroneus-profundus-Parese fällt die Zehenstreckung gemeinsam mit der Fußhebung aus; vorderes Kompartmentsyndrom betrifft diesen Muskel ebenfalls</t>
        </is>
      </c>
      <c r="G43" s="14" t="inlineStr">
        <is>
          <t>Anterolateral am Unterschenkel tastbar; die vier Sehnen sind auf dem Fußrücken zu den Zehen II–V sicher sichtbar</t>
        </is>
      </c>
      <c r="H43" s="14" t="inlineStr">
        <is>
          <t>Art. talocruralis, Art. subtalaris, MTP und IP Zehen II–V</t>
        </is>
      </c>
      <c r="I43" s="14" t="inlineStr">
        <is>
          <t>Fuß: Dorsalextension, Pronation; Zehen II–V: Extension der MTP- und IP-Gelenke</t>
        </is>
      </c>
      <c r="J43" s="14" t="inlineStr">
        <is>
          <t>N. peroneus profundus</t>
        </is>
      </c>
      <c r="K43" s="14" t="n"/>
      <c r="L43" s="14" t="n"/>
      <c r="M43" s="14" t="inlineStr">
        <is>
          <t>Condylus lateralis tibiae, Facies medialis fibulae und Membrana interossea</t>
        </is>
      </c>
      <c r="N43" s="14" t="n"/>
      <c r="O43" s="14" t="n"/>
      <c r="P43" s="14" t="n"/>
      <c r="Q43" s="14" t="n"/>
      <c r="R43" s="14" t="n"/>
      <c r="S43" s="14" t="n"/>
      <c r="T43" s="14" t="inlineStr">
        <is>
          <t>Dorsalaponeurose der Zehen II–V</t>
        </is>
      </c>
      <c r="U43" s="14" t="inlineStr">
        <is>
          <t>Os metatarsale V (dorsal)</t>
        </is>
      </c>
      <c r="V43" s="14" t="n"/>
      <c r="W43" s="14" t="inlineStr">
        <is>
          <t>Dorsalextendiert den Fuß und proniert; streckt die Zehen II–V in den MTP- und IP-Gelenken; unterstützt das Anheben der Zehenspitzen beim Gehen</t>
        </is>
      </c>
      <c r="X43" s="14" t="inlineStr">
        <is>
          <t>BodyParts3D, © DBCLS</t>
        </is>
      </c>
      <c r="Y43" s="14" t="inlineStr">
        <is>
          <t>CC BY 4.0</t>
        </is>
      </c>
      <c r="Z43" s="14" t="inlineStr">
        <is>
          <t>https://creativecommons.org/licenses/by/4.0/</t>
        </is>
      </c>
      <c r="AA43" s="14" t="n"/>
    </row>
    <row r="44">
      <c r="A44" s="14" t="inlineStr">
        <is>
          <t>M. flexor digitorum longus</t>
        </is>
      </c>
      <c r="B44" s="14" t="inlineStr">
        <is>
          <t>untere-extremitaet</t>
        </is>
      </c>
      <c r="C44" s="14" t="inlineStr">
        <is>
          <t>fuss</t>
        </is>
      </c>
      <c r="D44" s="14" t="inlineStr">
        <is>
          <t>fuss,plantarflexion,supination,zehenflexion,tiefer-beugerloge</t>
        </is>
      </c>
      <c r="E44" s="14" t="n">
        <v>2</v>
      </c>
      <c r="F44" s="14" t="inlineStr">
        <is>
          <t>Tarsaltunnelsyndrom kann Druck auf die FDL-Sehne ausüben; chronische Überlastung führt zu Krallenzehen durch Dauerkontraktur der tiefen Zehenbeuger</t>
        </is>
      </c>
      <c r="G44" s="14" t="inlineStr">
        <is>
          <t>Die Sehne läuft hinter dem Innenknöchel medial der Tibialis-posterior-Sehne; im distalen Bereich auf der Fußsohle nicht sicher palpierbar</t>
        </is>
      </c>
      <c r="H44" s="14" t="inlineStr">
        <is>
          <t>Art. talocruralis, Art. subtalaris, MTP und IP Zehen II–V</t>
        </is>
      </c>
      <c r="I44" s="14" t="inlineStr">
        <is>
          <t>Fuß: Plantarflexion, Supination; Zehen II–V: Flexion der MTP- und IP-Gelenke</t>
        </is>
      </c>
      <c r="J44" s="14" t="inlineStr">
        <is>
          <t>N. tibialis</t>
        </is>
      </c>
      <c r="K44" s="14" t="n"/>
      <c r="L44" s="14" t="n"/>
      <c r="M44" s="14" t="inlineStr">
        <is>
          <t>Facies posterior tibiae (Mitte)</t>
        </is>
      </c>
      <c r="N44" s="14" t="n"/>
      <c r="O44" s="14" t="n"/>
      <c r="P44" s="14" t="n"/>
      <c r="Q44" s="14" t="n"/>
      <c r="R44" s="14" t="n"/>
      <c r="S44" s="14" t="n"/>
      <c r="T44" s="14" t="inlineStr">
        <is>
          <t>Zehen II–V, distale Phalanx (Basis)</t>
        </is>
      </c>
      <c r="U44" s="14" t="n"/>
      <c r="V44" s="14" t="n"/>
      <c r="W44" s="14" t="inlineStr">
        <is>
          <t>Plantarflektiert den Fuß und supiniert; beugt die Zehen II–V in MTP-, PIP- und DIP-Gelenken; beim Gehen unterstützt er das Abstoßen und das Greifen der Zehenspitzen</t>
        </is>
      </c>
      <c r="X44" s="14" t="inlineStr">
        <is>
          <t>BodyParts3D, © DBCLS</t>
        </is>
      </c>
      <c r="Y44" s="14" t="inlineStr">
        <is>
          <t>CC BY 4.0</t>
        </is>
      </c>
      <c r="Z44" s="14" t="inlineStr">
        <is>
          <t>https://creativecommons.org/licenses/by/4.0/</t>
        </is>
      </c>
      <c r="AA44" s="14" t="n"/>
    </row>
    <row r="45">
      <c r="A45" s="14" t="inlineStr">
        <is>
          <t>M. extensor hallucis longus</t>
        </is>
      </c>
      <c r="B45" s="14" t="inlineStr">
        <is>
          <t>untere-extremitaet</t>
        </is>
      </c>
      <c r="C45" s="14" t="inlineStr">
        <is>
          <t>fuss</t>
        </is>
      </c>
      <c r="D45" s="14" t="inlineStr">
        <is>
          <t>fuss,dorsalextension,grosszehenextension,vorderer-unterschenkel</t>
        </is>
      </c>
      <c r="E45" s="14" t="n">
        <v>2</v>
      </c>
      <c r="F45" s="14" t="inlineStr">
        <is>
          <t>Hallux-extensus-Deformität (Hyperextension Zehe I) kann nach N.-peroneus-profundus-Parese entstehen; Kompartmentsyndrom vordere Loge betrifft auch EHL</t>
        </is>
      </c>
      <c r="G45" s="14" t="inlineStr">
        <is>
          <t>Die Sehne verläuft auf dem Fußrücken zur Großzehe und ist bei Dorsalextension gut sichtbar</t>
        </is>
      </c>
      <c r="H45" s="14" t="inlineStr">
        <is>
          <t>Art. talocruralis, MTP und IP Zeh I</t>
        </is>
      </c>
      <c r="I45" s="14" t="inlineStr">
        <is>
          <t>Fuß: Dorsalextension; Zeh I: Extension des MTP- und IP-Gelenks</t>
        </is>
      </c>
      <c r="J45" s="14" t="inlineStr">
        <is>
          <t>N. peroneus profundus</t>
        </is>
      </c>
      <c r="K45" s="14" t="n"/>
      <c r="L45" s="14" t="n"/>
      <c r="M45" s="14" t="inlineStr">
        <is>
          <t>Facies medialis fibulae (Mitte) und Membrana interossea</t>
        </is>
      </c>
      <c r="N45" s="14" t="n"/>
      <c r="O45" s="14" t="n"/>
      <c r="P45" s="14" t="n"/>
      <c r="Q45" s="14" t="n"/>
      <c r="R45" s="14" t="n"/>
      <c r="S45" s="14" t="n"/>
      <c r="T45" s="14" t="inlineStr">
        <is>
          <t>Zeh I, dorsale distale Phalanx (Basis)</t>
        </is>
      </c>
      <c r="U45" s="14" t="n"/>
      <c r="V45" s="14" t="n"/>
      <c r="W45" s="14" t="inlineStr">
        <is>
          <t>Dorsalextendiert den Fuß; streckt die Großzehe in MTP- und IP-Gelenk; hebt das mediale Gewölbe bei der Fußhebung</t>
        </is>
      </c>
      <c r="X45" s="14" t="inlineStr">
        <is>
          <t>BodyParts3D, © DBCLS</t>
        </is>
      </c>
      <c r="Y45" s="14" t="inlineStr">
        <is>
          <t>CC BY 4.0</t>
        </is>
      </c>
      <c r="Z45" s="14" t="inlineStr">
        <is>
          <t>https://creativecommons.org/licenses/by/4.0/</t>
        </is>
      </c>
      <c r="AA45" s="14" t="n"/>
    </row>
    <row r="46">
      <c r="A46" s="14" t="inlineStr">
        <is>
          <t>M. flexor hallucis longus</t>
        </is>
      </c>
      <c r="B46" s="14" t="inlineStr">
        <is>
          <t>untere-extremitaet</t>
        </is>
      </c>
      <c r="C46" s="14" t="inlineStr">
        <is>
          <t>fuss</t>
        </is>
      </c>
      <c r="D46" s="14" t="inlineStr">
        <is>
          <t>fuss,plantarflexion,supination,grosszehenflexion,tiefer-beugerloge</t>
        </is>
      </c>
      <c r="E46" s="14" t="n">
        <v>2</v>
      </c>
      <c r="F46" s="14" t="inlineStr">
        <is>
          <t>Hallux-flexus-Deformität durch Verkürzung; Tarsaltunnelsyndrom kann FHL-Sehne betreffen; bei Ballett-Tänzerinnen typische Überlastungstendinitis hinter dem Innenknöchel</t>
        </is>
      </c>
      <c r="G46" s="14" t="inlineStr">
        <is>
          <t>Die Sehne tastet man tief hinter dem Innenknöchel lateral der FDL-Sehne; auf der Fußsohle ist sie nicht direkt palpierbar</t>
        </is>
      </c>
      <c r="H46" s="14" t="inlineStr">
        <is>
          <t>Art. talocruralis, Art. subtalaris, MTP und IP Zeh I</t>
        </is>
      </c>
      <c r="I46" s="14" t="inlineStr">
        <is>
          <t>Fuß: Plantarflexion, Supination; Zeh I: Flexion des MTP- und IP-Gelenks</t>
        </is>
      </c>
      <c r="J46" s="14" t="inlineStr">
        <is>
          <t>N. tibialis</t>
        </is>
      </c>
      <c r="K46" s="14" t="n"/>
      <c r="L46" s="14" t="n"/>
      <c r="M46" s="14" t="inlineStr">
        <is>
          <t>Facies posterior fibulae (distal)</t>
        </is>
      </c>
      <c r="N46" s="14" t="n"/>
      <c r="O46" s="14" t="n"/>
      <c r="P46" s="14" t="n"/>
      <c r="Q46" s="14" t="n"/>
      <c r="R46" s="14" t="n"/>
      <c r="S46" s="14" t="n"/>
      <c r="T46" s="14" t="inlineStr">
        <is>
          <t>Zeh I, plantare distale Phalanx (Basis)</t>
        </is>
      </c>
      <c r="U46" s="14" t="n"/>
      <c r="V46" s="14" t="n"/>
      <c r="W46" s="14" t="inlineStr">
        <is>
          <t>Plantarflektiert den Fuß und supiniert; beugt die Großzehe in MTP- und IP-Gelenk; wichtig beim Abstoßen in der Gangabwicklung</t>
        </is>
      </c>
      <c r="X46" s="14" t="inlineStr">
        <is>
          <t>BodyParts3D, © DBCLS</t>
        </is>
      </c>
      <c r="Y46" s="14" t="inlineStr">
        <is>
          <t>CC BY 4.0</t>
        </is>
      </c>
      <c r="Z46" s="14" t="inlineStr">
        <is>
          <t>https://creativecommons.org/licenses/by/4.0/</t>
        </is>
      </c>
      <c r="AA46" s="14" t="n"/>
    </row>
    <row r="47">
      <c r="A47" s="14" t="inlineStr">
        <is>
          <t>M. extensor digitorum brevis</t>
        </is>
      </c>
      <c r="B47" s="14" t="inlineStr">
        <is>
          <t>untere-extremitaet</t>
        </is>
      </c>
      <c r="C47" s="14" t="inlineStr">
        <is>
          <t>fuss</t>
        </is>
      </c>
      <c r="D47" s="14" t="inlineStr">
        <is>
          <t>fuss,zehenextension,kurze-fussmuskulatur,fussruecken</t>
        </is>
      </c>
      <c r="E47" s="14" t="n">
        <v>2</v>
      </c>
      <c r="F47" s="14" t="inlineStr">
        <is>
          <t>Eine deutliche Schwellung am Fußrücken kann fälschlicherweise für ein Ganglion gehalten werden, wenn der Muskelbauch des EDB besonders ausgeprägt ist</t>
        </is>
      </c>
      <c r="G47" s="14" t="inlineStr">
        <is>
          <t>Als flacher Muskelbauch lateral am Fußrücken tastbar; er liegt unmittelbar auf den Metatarsalknochen</t>
        </is>
      </c>
      <c r="H47" s="14" t="inlineStr">
        <is>
          <t>MTP und IP Zehen II–IV</t>
        </is>
      </c>
      <c r="I47" s="14" t="inlineStr">
        <is>
          <t>Zeh II–IV: Extension und Lateralabduktion der MTP- und IP-Gelenke</t>
        </is>
      </c>
      <c r="J47" s="14" t="inlineStr">
        <is>
          <t>N. peroneus profundus</t>
        </is>
      </c>
      <c r="K47" s="14" t="n"/>
      <c r="L47" s="14" t="n"/>
      <c r="M47" s="14" t="inlineStr">
        <is>
          <t>Kalkaneus (dorsolateral) und Retinaculum extensorum inferius</t>
        </is>
      </c>
      <c r="N47" s="14" t="n"/>
      <c r="O47" s="14" t="n"/>
      <c r="P47" s="14" t="n"/>
      <c r="Q47" s="14" t="n"/>
      <c r="R47" s="14" t="n"/>
      <c r="S47" s="14" t="n"/>
      <c r="T47" s="14" t="inlineStr">
        <is>
          <t>Zeh II–IV, Dorsalaponeurosen</t>
        </is>
      </c>
      <c r="U47" s="14" t="n"/>
      <c r="V47" s="14" t="n"/>
      <c r="W47" s="14" t="inlineStr">
        <is>
          <t>Streckt die Zehen II–IV in MTP- und IP-Gelenken; unterstützt den langen Zehenstrecker bei der Fußhebung</t>
        </is>
      </c>
      <c r="X47" s="14" t="inlineStr">
        <is>
          <t>BodyParts3D, © DBCLS</t>
        </is>
      </c>
      <c r="Y47" s="14" t="inlineStr">
        <is>
          <t>CC BY 4.0</t>
        </is>
      </c>
      <c r="Z47" s="14" t="inlineStr">
        <is>
          <t>https://creativecommons.org/licenses/by/4.0/</t>
        </is>
      </c>
      <c r="AA47" s="14" t="n"/>
    </row>
    <row r="48">
      <c r="A48" s="14" t="inlineStr">
        <is>
          <t>M. flexor digitorum brevis</t>
        </is>
      </c>
      <c r="B48" s="14" t="inlineStr">
        <is>
          <t>untere-extremitaet</t>
        </is>
      </c>
      <c r="C48" s="14" t="inlineStr">
        <is>
          <t>fuss</t>
        </is>
      </c>
      <c r="D48" s="14" t="inlineStr">
        <is>
          <t>fuss,zehenflexion,kurze-fussmuskulatur,fusssohle</t>
        </is>
      </c>
      <c r="E48" s="14" t="n">
        <v>1</v>
      </c>
      <c r="F48" s="14" t="inlineStr">
        <is>
          <t>Bei Plantarfasziitis ist der Ansatz am Kalkaneus (Proc. medialis) entzündet; Hammerzehen entstehen u.a. durch Imbalalanc zwischen FDB und den langen Zehenmuskeln</t>
        </is>
      </c>
      <c r="G48" s="14" t="inlineStr">
        <is>
          <t>Unter der Plantaraponeurose in der Fußsohle Mitte zu tasten; bei Druck auf die Fußsohle ist er als weicher Wulst spürbar</t>
        </is>
      </c>
      <c r="H48" s="14" t="inlineStr">
        <is>
          <t>MTP und proximale IP Zehen II–V</t>
        </is>
      </c>
      <c r="I48" s="14" t="inlineStr">
        <is>
          <t>Zeh II–V: Flexion der MTP- und proximalen IP-Gelenke</t>
        </is>
      </c>
      <c r="J48" s="14" t="inlineStr">
        <is>
          <t>N. tibialis (N. plantaris medialis)</t>
        </is>
      </c>
      <c r="K48" s="14" t="n"/>
      <c r="L48" s="14" t="n"/>
      <c r="M48" s="14" t="inlineStr">
        <is>
          <t>Kalkaneus (Proc. medialis am Tuber) und Aponeurosis plantaris</t>
        </is>
      </c>
      <c r="N48" s="14" t="n"/>
      <c r="O48" s="14" t="n"/>
      <c r="P48" s="14" t="n"/>
      <c r="Q48" s="14" t="n"/>
      <c r="R48" s="14" t="n"/>
      <c r="S48" s="14" t="n"/>
      <c r="T48" s="14" t="inlineStr">
        <is>
          <t>Zehen II–V, plantare mittlere Phalangen</t>
        </is>
      </c>
      <c r="U48" s="14" t="n"/>
      <c r="V48" s="14" t="n"/>
      <c r="W48" s="14" t="inlineStr">
        <is>
          <t>Beugt die Zehen II–V in MTP- und proximalen IP-Gelenken; unterstützt das Greifen und Abrollen des Fußes beim Gehen</t>
        </is>
      </c>
      <c r="X48" s="14" t="inlineStr">
        <is>
          <t>BodyParts3D, © DBCLS</t>
        </is>
      </c>
      <c r="Y48" s="14" t="inlineStr">
        <is>
          <t>CC BY 4.0</t>
        </is>
      </c>
      <c r="Z48" s="14" t="inlineStr">
        <is>
          <t>https://creativecommons.org/licenses/by/4.0/</t>
        </is>
      </c>
      <c r="AA48" s="14" t="n"/>
    </row>
    <row r="49">
      <c r="A49" s="14" t="inlineStr">
        <is>
          <t>M. quadratus plantae</t>
        </is>
      </c>
      <c r="B49" s="14" t="inlineStr">
        <is>
          <t>untere-extremitaet</t>
        </is>
      </c>
      <c r="C49" s="14" t="inlineStr">
        <is>
          <t>fuss</t>
        </is>
      </c>
      <c r="D49" s="14" t="inlineStr">
        <is>
          <t>fuss,zehenflexion,kurze-fussmuskulatur,fusssohle</t>
        </is>
      </c>
      <c r="E49" s="14" t="n">
        <v>3</v>
      </c>
      <c r="F49" s="14" t="inlineStr">
        <is>
          <t>Korrigiert den durch den Zug des M. flexor digitorum longus entstehenden schrägen Zugvektor; erst durch ihn erfolgt eine achsengerechte Zehenflexion</t>
        </is>
      </c>
      <c r="G49" s="14" t="inlineStr">
        <is>
          <t>Tief plantar gelegen und von außen nicht palpierbar</t>
        </is>
      </c>
      <c r="H49" s="14" t="inlineStr">
        <is>
          <t>–</t>
        </is>
      </c>
      <c r="I49" s="14" t="inlineStr">
        <is>
          <t>Zeh II–V: Flexion der MTP- und IP-Gelenke (unterstützt M. flexor digitorum longus)</t>
        </is>
      </c>
      <c r="J49" s="14" t="inlineStr">
        <is>
          <t>N. tibialis (N. plantaris lateralis)</t>
        </is>
      </c>
      <c r="K49" s="14" t="n"/>
      <c r="L49" s="14" t="n"/>
      <c r="M49" s="14" t="inlineStr">
        <is>
          <t>Tuber calcanei (plantare Seite)</t>
        </is>
      </c>
      <c r="N49" s="14" t="n"/>
      <c r="O49" s="14" t="n"/>
      <c r="P49" s="14" t="n"/>
      <c r="Q49" s="14" t="n"/>
      <c r="R49" s="14" t="n"/>
      <c r="S49" s="14" t="n"/>
      <c r="T49" s="14" t="inlineStr">
        <is>
          <t>M. flexor digitorum longus (Endsehne)</t>
        </is>
      </c>
      <c r="U49" s="14" t="n"/>
      <c r="V49" s="14" t="n"/>
      <c r="W49" s="14" t="inlineStr">
        <is>
          <t>Richtet den Zugvektor des M. flexor digitorum longus auf die Zehenlängsachse aus; unterstützt die Beugung der Zehen II–V</t>
        </is>
      </c>
      <c r="X49" s="14" t="inlineStr">
        <is>
          <t>BodyParts3D, © DBCLS</t>
        </is>
      </c>
      <c r="Y49" s="14" t="inlineStr">
        <is>
          <t>CC BY 4.0</t>
        </is>
      </c>
      <c r="Z49" s="14" t="inlineStr">
        <is>
          <t>https://creativecommons.org/licenses/by/4.0/</t>
        </is>
      </c>
      <c r="AA49" s="14" t="n"/>
    </row>
    <row r="50">
      <c r="A50" s="14" t="inlineStr">
        <is>
          <t>Mm. interossei plantares</t>
        </is>
      </c>
      <c r="B50" s="14" t="inlineStr">
        <is>
          <t>untere-extremitaet</t>
        </is>
      </c>
      <c r="C50" s="14" t="inlineStr">
        <is>
          <t>fuss</t>
        </is>
      </c>
      <c r="D50" s="14" t="inlineStr">
        <is>
          <t>fuss,zehenflexion,adduktion,interossei,fusssohle</t>
        </is>
      </c>
      <c r="E50" s="14" t="n">
        <v>3</v>
      </c>
      <c r="F50" s="14" t="inlineStr">
        <is>
          <t>Bei Spreizfuß und Krallenzehen durch Schwäche der intrinsischen Fußmuskeln; enger Schuhwerk begünstigt die Ausprägung</t>
        </is>
      </c>
      <c r="G50" s="14" t="inlineStr">
        <is>
          <t>Plantar zwischen den Mittelfußknochen verborgen; klinisch nicht direkt palpierbar</t>
        </is>
      </c>
      <c r="H50" s="14" t="inlineStr">
        <is>
          <t>MTP Zehen III–V</t>
        </is>
      </c>
      <c r="I50" s="14" t="inlineStr">
        <is>
          <t>Zeh III–V: Flexion und Adduktion der MTP-Gelenke (zum II. Strahl hin)</t>
        </is>
      </c>
      <c r="J50" s="14" t="inlineStr">
        <is>
          <t>N. tibialis (N. plantaris lateralis)</t>
        </is>
      </c>
      <c r="K50" s="14" t="n"/>
      <c r="L50" s="14" t="n"/>
      <c r="M50" s="14" t="inlineStr">
        <is>
          <t>Ossa metatarsi III–V</t>
        </is>
      </c>
      <c r="N50" s="14" t="n"/>
      <c r="O50" s="14" t="n"/>
      <c r="P50" s="14" t="n"/>
      <c r="Q50" s="14" t="n"/>
      <c r="R50" s="14" t="n"/>
      <c r="S50" s="14" t="n"/>
      <c r="T50" s="14" t="inlineStr">
        <is>
          <t>Zehen III–V, Basis der proximalen Phalangen</t>
        </is>
      </c>
      <c r="U50" s="14" t="n"/>
      <c r="V50" s="14" t="n"/>
      <c r="W50" s="14" t="inlineStr">
        <is>
          <t>Adduzieren die Zehen III–V zur zweiten Zehenachse hin; beugen die MTP-Gelenke</t>
        </is>
      </c>
      <c r="X50" s="14" t="inlineStr">
        <is>
          <t>BodyParts3D, © DBCLS</t>
        </is>
      </c>
      <c r="Y50" s="14" t="inlineStr">
        <is>
          <t>CC BY 4.0</t>
        </is>
      </c>
      <c r="Z50" s="14" t="inlineStr">
        <is>
          <t>https://creativecommons.org/licenses/by/4.0/</t>
        </is>
      </c>
      <c r="AA50" s="14" t="n"/>
    </row>
    <row r="51">
      <c r="A51" s="14" t="inlineStr">
        <is>
          <t>Mm. interossei dorsales</t>
        </is>
      </c>
      <c r="B51" s="14" t="inlineStr">
        <is>
          <t>untere-extremitaet</t>
        </is>
      </c>
      <c r="C51" s="14" t="inlineStr">
        <is>
          <t>fuss</t>
        </is>
      </c>
      <c r="D51" s="14" t="inlineStr">
        <is>
          <t>fuss,zehenflexion,abduktion,interossei,fusssohle</t>
        </is>
      </c>
      <c r="E51" s="14" t="n">
        <v>3</v>
      </c>
      <c r="F51" s="14" t="inlineStr">
        <is>
          <t>Beim Spreizfuß sind die dorsalen Interossei durch den Druck in der Fußquere gestört; bei Krallenzehen überwiegen die extrinsischen Muskeln gegenüber den schwachen Interossei</t>
        </is>
      </c>
      <c r="G51" s="14" t="inlineStr">
        <is>
          <t>Auf dem Fußrücken zwischen den Metatarsalköpfen leicht zu tasten; besonders zwischen 1./2. und 2./3. Metatarsale</t>
        </is>
      </c>
      <c r="H51" s="14" t="inlineStr">
        <is>
          <t>MTP Zehen II–IV</t>
        </is>
      </c>
      <c r="I51" s="14" t="inlineStr">
        <is>
          <t>Zeh II–IV: Flexion und laterale Abduktion im MTP-Gelenk; Zeh II: mediale Abduktion</t>
        </is>
      </c>
      <c r="J51" s="14" t="inlineStr">
        <is>
          <t>N. tibialis (N. plantaris lateralis)</t>
        </is>
      </c>
      <c r="K51" s="14" t="n"/>
      <c r="L51" s="14" t="n"/>
      <c r="M51" s="14" t="inlineStr">
        <is>
          <t>Ossa metatarsi I–V (die einander zugewandten Seiten)</t>
        </is>
      </c>
      <c r="N51" s="14" t="n"/>
      <c r="O51" s="14" t="n"/>
      <c r="P51" s="14" t="n"/>
      <c r="Q51" s="14" t="n"/>
      <c r="R51" s="14" t="n"/>
      <c r="S51" s="14" t="n"/>
      <c r="T51" s="14" t="inlineStr">
        <is>
          <t>Zehen II–IV, Basis der proximalen Phalangen (lateral und medial)</t>
        </is>
      </c>
      <c r="U51" s="14" t="n"/>
      <c r="V51" s="14" t="n"/>
      <c r="W51" s="14" t="inlineStr">
        <is>
          <t>Abduzieren die Zehen II–IV vom zweiten Strahl weg; beugen die MTP-Gelenke; Zehe II kann durch den ersten dorsalen Interosseus auch medialwärts abduziert werden</t>
        </is>
      </c>
      <c r="X51" s="14" t="inlineStr">
        <is>
          <t>BodyParts3D, © DBCLS</t>
        </is>
      </c>
      <c r="Y51" s="14" t="inlineStr">
        <is>
          <t>CC BY 4.0</t>
        </is>
      </c>
      <c r="Z51" s="14" t="inlineStr">
        <is>
          <t>https://creativecommons.org/licenses/by/4.0/</t>
        </is>
      </c>
      <c r="AA51" s="14" t="n"/>
    </row>
    <row r="52">
      <c r="A52" s="14" t="inlineStr">
        <is>
          <t>Mm. lumbricales</t>
        </is>
      </c>
      <c r="B52" s="14" t="inlineStr">
        <is>
          <t>untere-extremitaet</t>
        </is>
      </c>
      <c r="C52" s="14" t="inlineStr">
        <is>
          <t>fuss</t>
        </is>
      </c>
      <c r="D52" s="14" t="inlineStr">
        <is>
          <t>fuss,zehenflexion,adduktion,fusssohle</t>
        </is>
      </c>
      <c r="E52" s="14" t="n">
        <v>3</v>
      </c>
      <c r="F52" s="14" t="inlineStr">
        <is>
          <t>Beim Spreizfuß und bei Krallenzehen geschwächt; Ausfälle der Lumbrikalfunktion begünstigen Hyperextension in MTP und Flexion in IP (Krallenzehe)</t>
        </is>
      </c>
      <c r="G52" s="14" t="inlineStr">
        <is>
          <t>In der Fußsohle tief gelegen, nicht von außen palpierbar</t>
        </is>
      </c>
      <c r="H52" s="14" t="inlineStr">
        <is>
          <t>MTP Zehen II–V</t>
        </is>
      </c>
      <c r="I52" s="14" t="inlineStr">
        <is>
          <t>Zeh II–V: Flexion der MTP-Gelenke; Zeh III–V: Adduktion; Zeh II: Abduktion</t>
        </is>
      </c>
      <c r="J52" s="14" t="inlineStr">
        <is>
          <t>N. tibialis (N. plantaris medialis und lateralis)</t>
        </is>
      </c>
      <c r="K52" s="14" t="n"/>
      <c r="L52" s="14" t="n"/>
      <c r="M52" s="14" t="inlineStr">
        <is>
          <t>Sehnen des M. flexor digitorum longus</t>
        </is>
      </c>
      <c r="N52" s="14" t="n"/>
      <c r="O52" s="14" t="n"/>
      <c r="P52" s="14" t="n"/>
      <c r="Q52" s="14" t="n"/>
      <c r="R52" s="14" t="n"/>
      <c r="S52" s="14" t="n"/>
      <c r="T52" s="14" t="inlineStr">
        <is>
          <t>Zehen II–V, Basen der proximalen Phalangen (medial)</t>
        </is>
      </c>
      <c r="U52" s="14" t="n"/>
      <c r="V52" s="14" t="n"/>
      <c r="W52" s="14" t="inlineStr">
        <is>
          <t>Beugen die MTP-Gelenke II–V; die Mm. lumbricales III–V adduzieren ihre Zehen zur zweiten Achse hin; Zehe II kann abgespreizt werden</t>
        </is>
      </c>
      <c r="X52" s="14" t="inlineStr">
        <is>
          <t>BodyParts3D, © DBCLS</t>
        </is>
      </c>
      <c r="Y52" s="14" t="inlineStr">
        <is>
          <t>CC BY 4.0</t>
        </is>
      </c>
      <c r="Z52" s="14" t="inlineStr">
        <is>
          <t>https://creativecommons.org/licenses/by/4.0/</t>
        </is>
      </c>
      <c r="AA52" s="14" t="n"/>
    </row>
    <row r="53">
      <c r="A53" s="14" t="inlineStr">
        <is>
          <t>M. extensor hallucis brevis</t>
        </is>
      </c>
      <c r="B53" s="14" t="inlineStr">
        <is>
          <t>untere-extremitaet</t>
        </is>
      </c>
      <c r="C53" s="14" t="inlineStr">
        <is>
          <t>fuss</t>
        </is>
      </c>
      <c r="D53" s="14" t="inlineStr">
        <is>
          <t>fuss,grosszehenextension,kurze-fussmuskulatur,fussruecken</t>
        </is>
      </c>
      <c r="E53" s="14" t="n">
        <v>2</v>
      </c>
      <c r="F53" s="14" t="inlineStr">
        <is>
          <t>Teil der EDB-Gruppe; kann bei pathologischer Fußrückenschwellung klinisch prominent werden; sein Muskelbauch ist manchmal vergrößert und mit einem Tumor verwechselt worden</t>
        </is>
      </c>
      <c r="G53" s="14" t="inlineStr">
        <is>
          <t>Am medialen Fußrücken tastbar; liegt zusammen mit dem M. extensor digitorum brevis auf dem Kalkaneus</t>
        </is>
      </c>
      <c r="H53" s="14" t="inlineStr">
        <is>
          <t>MTP Zeh I</t>
        </is>
      </c>
      <c r="I53" s="14" t="inlineStr">
        <is>
          <t>Zeh I: Extension des MTP-Gelenks</t>
        </is>
      </c>
      <c r="J53" s="14" t="inlineStr">
        <is>
          <t>N. peroneus profundus</t>
        </is>
      </c>
      <c r="K53" s="14" t="n"/>
      <c r="L53" s="14" t="n"/>
      <c r="M53" s="14" t="inlineStr">
        <is>
          <t>Dorsalfläche des Kalkaneus (zusammen mit M. extensor digitorum brevis)</t>
        </is>
      </c>
      <c r="N53" s="14" t="n"/>
      <c r="O53" s="14" t="n"/>
      <c r="P53" s="14" t="n"/>
      <c r="Q53" s="14" t="n"/>
      <c r="R53" s="14" t="n"/>
      <c r="S53" s="14" t="n"/>
      <c r="T53" s="14" t="inlineStr">
        <is>
          <t>Zeh I, proximale Phalanx</t>
        </is>
      </c>
      <c r="U53" s="14" t="n"/>
      <c r="V53" s="14" t="n"/>
      <c r="W53" s="14" t="inlineStr">
        <is>
          <t>Streckt die Großzehe im MTP-Gelenk; unterstützt den M. extensor hallucis longus bei der Großzehenstreckung</t>
        </is>
      </c>
      <c r="X53" s="14" t="inlineStr">
        <is>
          <t>BodyParts3D, © DBCLS</t>
        </is>
      </c>
      <c r="Y53" s="14" t="inlineStr">
        <is>
          <t>CC BY 4.0</t>
        </is>
      </c>
      <c r="Z53" s="14" t="inlineStr">
        <is>
          <t>https://creativecommons.org/licenses/by/4.0/</t>
        </is>
      </c>
      <c r="AA53" s="14" t="n"/>
    </row>
    <row r="54">
      <c r="A54" s="14" t="inlineStr">
        <is>
          <t>M. flexor hallucis brevis</t>
        </is>
      </c>
      <c r="B54" s="14" t="inlineStr">
        <is>
          <t>untere-extremitaet</t>
        </is>
      </c>
      <c r="C54" s="14" t="inlineStr">
        <is>
          <t>fuss</t>
        </is>
      </c>
      <c r="D54" s="14" t="inlineStr">
        <is>
          <t>fuss,grosszehenflexion,kurze-fussmuskulatur,fusssohle</t>
        </is>
      </c>
      <c r="E54" s="14" t="n">
        <v>2</v>
      </c>
      <c r="F54" s="14" t="inlineStr">
        <is>
          <t>Bei Hallux valgus entgleist das Sesambein aus seiner Führungsrinne; Sesambeinf rakturen entstehen durch direkte Belastung oder Ermüdung</t>
        </is>
      </c>
      <c r="G54" s="14" t="inlineStr">
        <is>
          <t>Unter dem Großzehengrundgelenk plantar tastbar; bei Druck auf den Metatarsalkopf I ist er als weicher Wulst spürbar</t>
        </is>
      </c>
      <c r="H54" s="14" t="inlineStr">
        <is>
          <t>MTP Zeh I</t>
        </is>
      </c>
      <c r="I54" s="14" t="inlineStr">
        <is>
          <t>Zeh I: Flexion, Abduktion und Adduktion des MTP-Gelenks</t>
        </is>
      </c>
      <c r="J54" s="14" t="inlineStr">
        <is>
          <t>N. tibialis (N. plantaris medialis und lateralis)</t>
        </is>
      </c>
      <c r="K54" s="14" t="n"/>
      <c r="L54" s="14" t="n"/>
      <c r="M54" s="14" t="inlineStr">
        <is>
          <t>Ossa cuneiformia II et III und Os cuboideum</t>
        </is>
      </c>
      <c r="N54" s="14" t="n"/>
      <c r="O54" s="14" t="n"/>
      <c r="P54" s="14" t="n"/>
      <c r="Q54" s="14" t="n"/>
      <c r="R54" s="14" t="n"/>
      <c r="S54" s="14" t="n"/>
      <c r="T54" s="14" t="inlineStr">
        <is>
          <t>Mediale und laterale Basis der proximalen Phalanx des I. Zehs</t>
        </is>
      </c>
      <c r="U54" s="14" t="inlineStr">
        <is>
          <t>Mediales und laterales Sesambein</t>
        </is>
      </c>
      <c r="V54" s="14" t="n"/>
      <c r="W54" s="14" t="inlineStr">
        <is>
          <t>Beugt die Großzehe im MTP-Gelenk; unterstützt Abduktion und Adduktion; hält die Sesambeine in ihrer Gleitrinne unter dem ersten Metatarsalkopf</t>
        </is>
      </c>
      <c r="X54" s="14" t="inlineStr">
        <is>
          <t>BodyParts3D, © DBCLS</t>
        </is>
      </c>
      <c r="Y54" s="14" t="inlineStr">
        <is>
          <t>CC BY 4.0</t>
        </is>
      </c>
      <c r="Z54" s="14" t="inlineStr">
        <is>
          <t>https://creativecommons.org/licenses/by/4.0/</t>
        </is>
      </c>
      <c r="AA54" s="14" t="n"/>
    </row>
    <row r="55">
      <c r="A55" s="14" t="inlineStr">
        <is>
          <t>M. abductor hallucis</t>
        </is>
      </c>
      <c r="B55" s="14" t="inlineStr">
        <is>
          <t>untere-extremitaet</t>
        </is>
      </c>
      <c r="C55" s="14" t="inlineStr">
        <is>
          <t>fuss</t>
        </is>
      </c>
      <c r="D55" s="14" t="inlineStr">
        <is>
          <t>fuss,grosszehenabduktion,kurze-fussmuskulatur,fusssohle</t>
        </is>
      </c>
      <c r="E55" s="14" t="n">
        <v>1</v>
      </c>
      <c r="F55" s="14" t="inlineStr">
        <is>
          <t>Beim Hallux valgus ist die Abduktorkraft stark geschwächt; bei Plantarfasziitis ist der Ursprung am Kalkaneus mitbetroffen</t>
        </is>
      </c>
      <c r="G55" s="14" t="inlineStr">
        <is>
          <t>Am medialen Fußrand als länglicher Muskelwulst tastbar; bei Großzehenabduktion gegen Widerstand deutlich spürbar</t>
        </is>
      </c>
      <c r="H55" s="14" t="inlineStr">
        <is>
          <t>MTP Zeh I</t>
        </is>
      </c>
      <c r="I55" s="14" t="inlineStr">
        <is>
          <t>Zeh I: Flexion und Abduktion (vom II. Strahl weg) des MTP-Gelenks</t>
        </is>
      </c>
      <c r="J55" s="14" t="inlineStr">
        <is>
          <t>N. tibialis (N. plantaris medialis)</t>
        </is>
      </c>
      <c r="K55" s="14" t="n"/>
      <c r="L55" s="14" t="n"/>
      <c r="M55" s="14" t="inlineStr">
        <is>
          <t>Proc. medialis des Tuber calcanei, Retinaculum flexorum und Aponeurosis plantaris</t>
        </is>
      </c>
      <c r="N55" s="14" t="n"/>
      <c r="O55" s="14" t="n"/>
      <c r="P55" s="14" t="n"/>
      <c r="Q55" s="14" t="n"/>
      <c r="R55" s="14" t="n"/>
      <c r="S55" s="14" t="n"/>
      <c r="T55" s="14" t="inlineStr">
        <is>
          <t>Basis der proximalen Phalanx des I. Zehs und mediales Sesambein</t>
        </is>
      </c>
      <c r="U55" s="14" t="n"/>
      <c r="V55" s="14" t="n"/>
      <c r="W55" s="14" t="inlineStr">
        <is>
          <t>Abduziert die Großzehe vom zweiten Strahl weg; beugt sie im MTP-Gelenk; unterstützt das mediale Längsgewölbe</t>
        </is>
      </c>
      <c r="X55" s="14" t="inlineStr">
        <is>
          <t>BodyParts3D, © DBCLS</t>
        </is>
      </c>
      <c r="Y55" s="14" t="inlineStr">
        <is>
          <t>CC BY 4.0</t>
        </is>
      </c>
      <c r="Z55" s="14" t="inlineStr">
        <is>
          <t>https://creativecommons.org/licenses/by/4.0/</t>
        </is>
      </c>
      <c r="AA55" s="14" t="n"/>
    </row>
    <row r="56">
      <c r="A56" s="14" t="inlineStr">
        <is>
          <t>M. adductor hallucis</t>
        </is>
      </c>
      <c r="B56" s="14" t="inlineStr">
        <is>
          <t>untere-extremitaet</t>
        </is>
      </c>
      <c r="C56" s="14" t="inlineStr">
        <is>
          <t>fuss</t>
        </is>
      </c>
      <c r="D56" s="14" t="inlineStr">
        <is>
          <t>fuss,grosszehenadduktion,kurze-fussmuskulatur,fusssohle</t>
        </is>
      </c>
      <c r="E56" s="14" t="n">
        <v>3</v>
      </c>
      <c r="F56" s="14" t="inlineStr">
        <is>
          <t>Beim Hallux valgus gilt überaktive Adduktorenaktivität als mitverursachend für die mediale Deviation des ersten Strahls; enges Schuhwerk begünstigt dies</t>
        </is>
      </c>
      <c r="G56" s="14" t="inlineStr">
        <is>
          <t>Liegt zu tief in der Fußsohle, um direkt palpierbar zu sein</t>
        </is>
      </c>
      <c r="H56" s="14" t="inlineStr">
        <is>
          <t>MTP Zeh I</t>
        </is>
      </c>
      <c r="I56" s="14" t="inlineStr">
        <is>
          <t>Zeh I: Flexion und Adduktion (zum II. Strahl hin) des MTP-Gelenks</t>
        </is>
      </c>
      <c r="J56" s="14" t="inlineStr">
        <is>
          <t>N. tibialis (N. plantaris lateralis)</t>
        </is>
      </c>
      <c r="K56" s="14" t="n"/>
      <c r="L56" s="14" t="inlineStr">
        <is>
          <t>Caput obliquum</t>
        </is>
      </c>
      <c r="M56" s="14" t="inlineStr">
        <is>
          <t>Os metatarsale II–V (Basis); Os cuboideum, Os cuneiforme III und Lig. plantare longum</t>
        </is>
      </c>
      <c r="N56" s="14" t="inlineStr">
        <is>
          <t>Caput transversum</t>
        </is>
      </c>
      <c r="O56" s="14" t="inlineStr">
        <is>
          <t>Kapsel der Art. MTP II–V und Lig. metatarseum transversum profundum</t>
        </is>
      </c>
      <c r="P56" s="14" t="n"/>
      <c r="Q56" s="14" t="n"/>
      <c r="R56" s="14" t="n"/>
      <c r="S56" s="14" t="n"/>
      <c r="T56" s="14" t="inlineStr">
        <is>
          <t>Basis der proximalen Phalanx des I. Zehs und laterales Sesambein</t>
        </is>
      </c>
      <c r="U56" s="14" t="n"/>
      <c r="V56" s="14" t="n"/>
      <c r="W56" s="14" t="inlineStr">
        <is>
          <t>Adduziert die Großzehe zum zweiten Strahl; beugt das MTP-Gelenk; verspannt das Quergewölbe (Caput transversum)</t>
        </is>
      </c>
      <c r="X56" s="14" t="inlineStr">
        <is>
          <t>BodyParts3D, © DBCLS</t>
        </is>
      </c>
      <c r="Y56" s="14" t="inlineStr">
        <is>
          <t>CC BY 4.0</t>
        </is>
      </c>
      <c r="Z56" s="14" t="inlineStr">
        <is>
          <t>https://creativecommons.org/licenses/by/4.0/</t>
        </is>
      </c>
      <c r="AA56" s="14" t="n"/>
    </row>
    <row r="57">
      <c r="A57" s="14" t="inlineStr">
        <is>
          <t>M. flexor digiti minimi brevis</t>
        </is>
      </c>
      <c r="B57" s="14" t="inlineStr">
        <is>
          <t>untere-extremitaet</t>
        </is>
      </c>
      <c r="C57" s="14" t="inlineStr">
        <is>
          <t>fuss</t>
        </is>
      </c>
      <c r="D57" s="14" t="inlineStr">
        <is>
          <t>fuss,kleinzehenflexion,kurze-fussmuskulatur,fusssohle</t>
        </is>
      </c>
      <c r="E57" s="14" t="n">
        <v>2</v>
      </c>
      <c r="F57" s="14" t="inlineStr">
        <is>
          <t>Bei Kleinzehenschmerzen und Spreizfuß kann dieser Muskel durch Druck des Schuhwerks gereizt sein; selten isoliert klinisch beurteilbar</t>
        </is>
      </c>
      <c r="G57" s="14" t="inlineStr">
        <is>
          <t>Lateral-plantar an der Fußsohle tastbar; bei Kleinzehenbeugung gegen Widerstand spürbar</t>
        </is>
      </c>
      <c r="H57" s="14" t="inlineStr">
        <is>
          <t>MTP Zeh V</t>
        </is>
      </c>
      <c r="I57" s="14" t="inlineStr">
        <is>
          <t>Zeh V: Flexion des MTP-Gelenks</t>
        </is>
      </c>
      <c r="J57" s="14" t="inlineStr">
        <is>
          <t>N. tibialis (N. plantaris lateralis)</t>
        </is>
      </c>
      <c r="K57" s="14" t="n"/>
      <c r="L57" s="14" t="n"/>
      <c r="M57" s="14" t="inlineStr">
        <is>
          <t>Os metatarsale V (Basis) und Lig. plantare longum</t>
        </is>
      </c>
      <c r="N57" s="14" t="n"/>
      <c r="O57" s="14" t="n"/>
      <c r="P57" s="14" t="n"/>
      <c r="Q57" s="14" t="n"/>
      <c r="R57" s="14" t="n"/>
      <c r="S57" s="14" t="n"/>
      <c r="T57" s="14" t="inlineStr">
        <is>
          <t>Zeh V, Basis der proximalen Phalanx (plantar)</t>
        </is>
      </c>
      <c r="U57" s="14" t="n"/>
      <c r="V57" s="14" t="n"/>
      <c r="W57" s="14" t="inlineStr">
        <is>
          <t>Beugt die Kleinzehe im MTP-Gelenk V; unterstützt die Stabilisierung des lateralen Fußrandes</t>
        </is>
      </c>
      <c r="X57" s="14" t="inlineStr">
        <is>
          <t>BodyParts3D, © DBCLS</t>
        </is>
      </c>
      <c r="Y57" s="14" t="inlineStr">
        <is>
          <t>CC BY 4.0</t>
        </is>
      </c>
      <c r="Z57" s="14" t="inlineStr">
        <is>
          <t>https://creativecommons.org/licenses/by/4.0/</t>
        </is>
      </c>
      <c r="AA57" s="14" t="n"/>
    </row>
    <row r="58">
      <c r="A58" t="inlineStr">
        <is>
          <t>M. opponens digiti minimi</t>
        </is>
      </c>
      <c r="B58" t="inlineStr">
        <is>
          <t>untere-extremitaet</t>
        </is>
      </c>
      <c r="C58" t="inlineStr">
        <is>
          <t>fuss</t>
        </is>
      </c>
      <c r="D58" t="inlineStr">
        <is>
          <t>fuss,kleinzehenabduktion,kleinzehenflexion,kurze-fussmuskulatur,fusssohle</t>
        </is>
      </c>
      <c r="E58" t="n">
        <v>3</v>
      </c>
      <c r="F58" t="inlineStr">
        <is>
          <t>Wird oft nur als tiefer Anteil des M. flexor digiti minimi brevis beschrieben und daher in Lehrwerken nicht immer separat aufgeführt; funktionell trägt er zur Stabilisierung des lateralen Fußrandes bei</t>
        </is>
      </c>
      <c r="H58" t="inlineStr">
        <is>
          <t>MTP Zeh V</t>
        </is>
      </c>
      <c r="I58" t="inlineStr">
        <is>
          <t>Zeh V: Flexion und Abduktion des MTP-Gelenks</t>
        </is>
      </c>
      <c r="J58" t="inlineStr">
        <is>
          <t>N. tibialis (N. plantaris lateralis), S2, S3</t>
        </is>
      </c>
      <c r="K58" t="inlineStr">
        <is>
          <t>muscle_opponens_digiti_minimi_caudal_1.jpg</t>
        </is>
      </c>
      <c r="M58" t="inlineStr">
        <is>
          <t>Lig. plantare longum</t>
        </is>
      </c>
      <c r="O58" t="inlineStr">
        <is>
          <t>Basis des Os metatarsale V</t>
        </is>
      </c>
      <c r="Q58" t="inlineStr">
        <is>
          <t>Sehnenscheide des M. fibularis longus</t>
        </is>
      </c>
      <c r="T58" t="inlineStr">
        <is>
          <t>Lateraler Rand des Os metatarsale V</t>
        </is>
      </c>
      <c r="W58" t="inlineStr">
        <is>
          <t>Unterstützt Flexion und Abduktion der Kleinzehe und stabilisiert das laterale Längsgewölbe des Fußes</t>
        </is>
      </c>
      <c r="X58" t="inlineStr">
        <is>
          <t>BodyParts3D, © DBCLS</t>
        </is>
      </c>
      <c r="Y58" t="inlineStr">
        <is>
          <t>CC BY 4.0</t>
        </is>
      </c>
      <c r="Z58" t="inlineStr">
        <is>
          <t>https://creativecommons.org/licenses/by/4.0/</t>
        </is>
      </c>
      <c r="AA58" t="inlineStr"/>
    </row>
    <row r="59">
      <c r="A59" s="13" t="inlineStr">
        <is>
          <t>M. abductor digiti minimi</t>
        </is>
      </c>
      <c r="B59" s="13" t="inlineStr">
        <is>
          <t>untere-extremitaet</t>
        </is>
      </c>
      <c r="C59" s="13" t="inlineStr">
        <is>
          <t>fuss</t>
        </is>
      </c>
      <c r="D59" s="13" t="inlineStr">
        <is>
          <t>fuss,kleinzehenabduktion,kurze-fussmuskulatur,fusssohle</t>
        </is>
      </c>
      <c r="E59" s="13" t="n">
        <v>1</v>
      </c>
      <c r="F59" s="13" t="inlineStr">
        <is>
          <t>Bursitis am Tuber calcanei lateral und der sog. Tailor's bunion (Prominenz des fünften Mittelfußköpfchens) gehen häufig mit Reizung des Abductor digiti minimi einher</t>
        </is>
      </c>
      <c r="G59" s="13" t="inlineStr">
        <is>
          <t>Am lateralen Fußrand deutlich tastbar; der Muskelbauch ist von Ferse bis Kleinzehenbasis als prominenter Wulst zu verfolgen</t>
        </is>
      </c>
      <c r="H59" s="13" t="inlineStr">
        <is>
          <t>MTP Zeh V</t>
        </is>
      </c>
      <c r="I59" s="13" t="inlineStr">
        <is>
          <t>Zeh V: Flexion und Abduktion des MTP-Gelenks</t>
        </is>
      </c>
      <c r="J59" s="13" t="inlineStr">
        <is>
          <t>N. tibialis (N. plantaris lateralis)</t>
        </is>
      </c>
      <c r="K59" s="13" t="n"/>
      <c r="L59" s="13" t="n"/>
      <c r="M59" s="13" t="inlineStr">
        <is>
          <t>Tuber calcanei (Proc. lateralis) und Lig. plantare longum</t>
        </is>
      </c>
      <c r="N59" s="13" t="n"/>
      <c r="O59" s="13" t="n"/>
      <c r="P59" s="13" t="n"/>
      <c r="Q59" s="13" t="n"/>
      <c r="R59" s="13" t="n"/>
      <c r="S59" s="13" t="n"/>
      <c r="T59" s="13" t="inlineStr">
        <is>
          <t>Zeh V, Tuberositas ossis metatarsalis V und proximale Phalanx (laterale Seite)</t>
        </is>
      </c>
      <c r="U59" s="13" t="n"/>
      <c r="V59" s="13" t="n"/>
      <c r="W59" s="13" t="inlineStr">
        <is>
          <t>Abduziert und beugt die Kleinzehe im MTP-Gelenk; stabilisiert den lateralen Fußrand</t>
        </is>
      </c>
      <c r="X59" s="13" t="inlineStr">
        <is>
          <t>BodyParts3D, © DBCLS</t>
        </is>
      </c>
      <c r="Y59" s="13" t="inlineStr">
        <is>
          <t>CC BY 4.0</t>
        </is>
      </c>
      <c r="Z59" s="13" t="inlineStr">
        <is>
          <t>https://creativecommons.org/licenses/by/4.0/</t>
        </is>
      </c>
      <c r="AA59" s="13" t="n"/>
    </row>
  </sheetData>
  <autoFilter ref="A2:AA2"/>
  <mergeCells count="7">
    <mergeCell ref="A4:AA4"/>
    <mergeCell ref="A1:G1"/>
    <mergeCell ref="T1:V1"/>
    <mergeCell ref="A24:AA24"/>
    <mergeCell ref="L1:S1"/>
    <mergeCell ref="X1:AA1"/>
    <mergeCell ref="H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10" defaultColWidth="9.109375" defaultRowHeight="14.4"/>
  <cols>
    <col width="25" customWidth="1" style="30" min="1" max="1"/>
    <col width="55" customWidth="1" style="30" min="2" max="2"/>
  </cols>
  <sheetData>
    <row r="1">
      <c r="A1" s="6" t="inlineStr">
        <is>
          <t>SPALTENFARBEN</t>
        </is>
      </c>
      <c r="B1" s="7" t="n"/>
    </row>
    <row r="2">
      <c r="A2" s="8" t="inlineStr">
        <is>
          <t>Hellblau</t>
        </is>
      </c>
      <c r="B2" s="9" t="inlineStr">
        <is>
          <t>Pflichtfeld — muss ausgefüllt werden</t>
        </is>
      </c>
    </row>
    <row r="3">
      <c r="A3" s="8" t="inlineStr">
        <is>
          <t>Hellgrün</t>
        </is>
      </c>
      <c r="B3" s="9" t="inlineStr">
        <is>
          <t>Optionales Feld — kann leer bleiben</t>
        </is>
      </c>
    </row>
    <row r="4">
      <c r="A4" s="8" t="inlineStr">
        <is>
          <t>Hellgelb</t>
        </is>
      </c>
      <c r="B4" s="9" t="inlineStr">
        <is>
          <t>Lizenzdaten — bitte ausfüllen wenn bekannt</t>
        </is>
      </c>
    </row>
    <row r="5">
      <c r="A5" s="8" t="n"/>
      <c r="B5" s="9" t="n"/>
    </row>
    <row r="6">
      <c r="A6" s="6" t="inlineStr">
        <is>
          <t>ZEILENFARBEN</t>
        </is>
      </c>
      <c r="B6" s="7" t="n"/>
    </row>
    <row r="7">
      <c r="A7" s="8" t="inlineStr">
        <is>
          <t>Lila</t>
        </is>
      </c>
      <c r="B7" s="9" t="inlineStr">
        <is>
          <t>Hüfte</t>
        </is>
      </c>
    </row>
    <row r="8">
      <c r="A8" s="8" t="inlineStr">
        <is>
          <t>Blau</t>
        </is>
      </c>
      <c r="B8" s="9" t="inlineStr">
        <is>
          <t>Knie</t>
        </is>
      </c>
    </row>
    <row r="9">
      <c r="A9" s="8" t="inlineStr">
        <is>
          <t>Grün</t>
        </is>
      </c>
      <c r="B9" s="9" t="inlineStr">
        <is>
          <t>Fuß &amp; Sprunggelenk</t>
        </is>
      </c>
    </row>
    <row r="10">
      <c r="A10" s="8" t="n"/>
      <c r="B10" s="9" t="n"/>
    </row>
    <row r="11">
      <c r="A11" s="6" t="inlineStr">
        <is>
          <t>ERLAUBTE WERTE</t>
        </is>
      </c>
      <c r="B11" s="7" t="n"/>
    </row>
    <row r="12">
      <c r="A12" s="8" t="inlineStr">
        <is>
          <t>region</t>
        </is>
      </c>
      <c r="B12" s="9" t="inlineStr">
        <is>
          <t>untere-extremitaet</t>
        </is>
      </c>
    </row>
    <row r="13">
      <c r="A13" s="8" t="inlineStr">
        <is>
          <t>subgroup</t>
        </is>
      </c>
      <c r="B13" s="9" t="inlineStr">
        <is>
          <t>huefte / knie / fuss</t>
        </is>
      </c>
    </row>
    <row r="14">
      <c r="A14" s="8" t="inlineStr">
        <is>
          <t>difficulty</t>
        </is>
      </c>
      <c r="B14" s="9" t="inlineStr">
        <is>
          <t>1 = leicht  |  2 = mittel  |  3 = schwer</t>
        </is>
      </c>
    </row>
    <row r="15">
      <c r="A15" s="8" t="n"/>
      <c r="B15" s="9" t="n"/>
    </row>
    <row r="16">
      <c r="A16" s="6" t="inlineStr">
        <is>
          <t>BILDBENENNUNGS-SCHEMA</t>
        </is>
      </c>
      <c r="B16" s="7" t="n"/>
    </row>
    <row r="17">
      <c r="A17" s="8" t="inlineStr">
        <is>
          <t>Format</t>
        </is>
      </c>
      <c r="B17" s="9" t="inlineStr">
        <is>
          <t>untex_muskelname_ansicht.png</t>
        </is>
      </c>
    </row>
    <row r="18">
      <c r="A18" s="8" t="inlineStr">
        <is>
          <t>Beispiel Hüfte</t>
        </is>
      </c>
      <c r="B18" s="9" t="inlineStr">
        <is>
          <t>untex_gluteus-maximus_dorsal.png</t>
        </is>
      </c>
    </row>
    <row r="19">
      <c r="A19" s="8" t="inlineStr">
        <is>
          <t>Beispiel Knie</t>
        </is>
      </c>
      <c r="B19" s="9" t="inlineStr">
        <is>
          <t>untex_quadriceps-femoris_frontal.png</t>
        </is>
      </c>
    </row>
    <row r="20">
      <c r="A20" s="8" t="inlineStr">
        <is>
          <t>Ansichten</t>
        </is>
      </c>
      <c r="B20" s="9" t="inlineStr">
        <is>
          <t>frontal / dorsal / lateral / medial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10" defaultColWidth="9.109375" defaultRowHeight="14.4"/>
  <cols>
    <col width="25" customWidth="1" style="30" min="1" max="1"/>
    <col width="20" customWidth="1" style="30" min="2" max="2"/>
  </cols>
  <sheetData>
    <row r="1" ht="15.6" customHeight="1" s="30">
      <c r="A1" s="10" t="inlineStr">
        <is>
          <t>Statistik Untere Extremität</t>
        </is>
      </c>
    </row>
    <row r="3">
      <c r="A3" s="11" t="inlineStr">
        <is>
          <t>Subgroup</t>
        </is>
      </c>
      <c r="B3" s="11" t="inlineStr">
        <is>
          <t>Anzahl Muskeln</t>
        </is>
      </c>
    </row>
    <row r="4">
      <c r="A4" t="inlineStr">
        <is>
          <t>huefte</t>
        </is>
      </c>
      <c r="B4" t="n">
        <v>19</v>
      </c>
    </row>
    <row r="5">
      <c r="A5" t="inlineStr">
        <is>
          <t>knie</t>
        </is>
      </c>
      <c r="B5" t="n">
        <v>10</v>
      </c>
    </row>
    <row r="6">
      <c r="A6" t="inlineStr">
        <is>
          <t>fuss</t>
        </is>
      </c>
      <c r="B6" t="n">
        <v>23</v>
      </c>
    </row>
    <row r="7">
      <c r="A7" s="11" t="inlineStr">
        <is>
          <t>GESAMT</t>
        </is>
      </c>
      <c r="B7" s="11">
        <f>SUM(B4:B6)</f>
        <v/>
      </c>
    </row>
    <row r="9">
      <c r="A9" s="11" t="inlineStr">
        <is>
          <t>Schwierigkeit</t>
        </is>
      </c>
      <c r="B9" s="11" t="inlineStr">
        <is>
          <t>Anzahl</t>
        </is>
      </c>
    </row>
    <row r="10">
      <c r="A10" t="inlineStr">
        <is>
          <t>Leicht</t>
        </is>
      </c>
      <c r="B10" t="n">
        <v>22</v>
      </c>
    </row>
    <row r="11">
      <c r="A11" t="inlineStr">
        <is>
          <t>Mittel</t>
        </is>
      </c>
      <c r="B11" t="n">
        <v>17</v>
      </c>
    </row>
    <row r="12">
      <c r="A12" t="inlineStr">
        <is>
          <t>Schwer</t>
        </is>
      </c>
      <c r="B1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3" topLeftCell="A5" activePane="bottomLeft" state="frozen"/>
      <selection pane="bottomLeft" activeCell="A4" sqref="A4:G4"/>
    </sheetView>
  </sheetViews>
  <sheetFormatPr baseColWidth="10" defaultRowHeight="14.4"/>
  <cols>
    <col width="41.109375" customWidth="1" style="30" min="1" max="1"/>
    <col width="56.44140625" customWidth="1" style="30" min="2" max="2"/>
    <col width="46.109375" customWidth="1" style="30" min="3" max="3"/>
    <col width="51.33203125" customWidth="1" style="30" min="4" max="4"/>
    <col width="41.109375" customWidth="1" style="30" min="5" max="5"/>
    <col width="79.21875" customWidth="1" style="30" min="6" max="6"/>
    <col width="59.6640625" customWidth="1" style="30" min="7" max="7"/>
  </cols>
  <sheetData>
    <row r="1" ht="30" customHeight="1" s="30">
      <c r="A1" s="27" t="inlineStr">
        <is>
          <t>🦵 Untere Extremität – Leicht-Modus</t>
        </is>
      </c>
    </row>
    <row r="2" ht="22.05" customHeight="1" s="30">
      <c r="A2" s="15" t="inlineStr">
        <is>
          <t>Name</t>
        </is>
      </c>
      <c r="B2" s="15" t="inlineStr">
        <is>
          <t>Ursprung</t>
        </is>
      </c>
      <c r="C2" s="15" t="inlineStr">
        <is>
          <t>Ansatz</t>
        </is>
      </c>
      <c r="D2" s="15" t="inlineStr">
        <is>
          <t>Funktion</t>
        </is>
      </c>
      <c r="E2" s="15" t="inlineStr">
        <is>
          <t>Innervation</t>
        </is>
      </c>
      <c r="F2" s="15" t="inlineStr">
        <is>
          <t>clinicalNote</t>
        </is>
      </c>
      <c r="G2" s="15" t="inlineStr">
        <is>
          <t>palpation</t>
        </is>
      </c>
    </row>
    <row r="3" ht="16.05" customHeight="1" s="30">
      <c r="A3" s="16" t="inlineStr">
        <is>
          <t>Lateinischer Muskelname</t>
        </is>
      </c>
      <c r="B3" s="16" t="inlineStr">
        <is>
          <t>Anatomischer Ursprung</t>
        </is>
      </c>
      <c r="C3" s="16" t="inlineStr">
        <is>
          <t>Anatomischer Ansatz</t>
        </is>
      </c>
      <c r="D3" s="16" t="inlineStr">
        <is>
          <t>Funktion(en) / Bewegungen</t>
        </is>
      </c>
      <c r="E3" s="16" t="inlineStr">
        <is>
          <t>Nerv und Segmente</t>
        </is>
      </c>
      <c r="F3" s="16" t="inlineStr">
        <is>
          <t>Klinischer Bezug</t>
        </is>
      </c>
      <c r="G3" s="16" t="inlineStr">
        <is>
          <t>Wo und wie tasten</t>
        </is>
      </c>
    </row>
    <row r="4" ht="19.95" customHeight="1" s="30">
      <c r="A4" s="28" t="inlineStr">
        <is>
          <t>── HÜFTE ──</t>
        </is>
      </c>
    </row>
    <row r="5" ht="45" customHeight="1" s="30">
      <c r="A5" s="17" t="inlineStr">
        <is>
          <t>M. psoas minor</t>
        </is>
      </c>
      <c r="B5" s="17" t="inlineStr">
        <is>
          <t>Wirbelkörper Th12/L1</t>
        </is>
      </c>
      <c r="C5" s="17" t="inlineStr">
        <is>
          <t>Eminentia iliopubica</t>
        </is>
      </c>
      <c r="D5" s="17" t="inlineStr">
        <is>
          <t>Becken: Retroversion (Dorsalkippung) im Iliosakralgelenk; Stabilisierung der LWS in Streckstellung</t>
        </is>
      </c>
      <c r="E5" s="17" t="inlineStr">
        <is>
          <t>Plexus lumbalis, L1</t>
        </is>
      </c>
      <c r="F5" s="17" t="inlineStr">
        <is>
          <t>Dieser Muskel fehlt bei etwa 10 % der Menschen und ist dann funktionell durch den Psoas major kompensiert – klinisch meist bedeutungslos, kann jedoch bei bildgebenden Verfahren als Zufallsbefund auffallen</t>
        </is>
      </c>
      <c r="G5" s="17" t="inlineStr">
        <is>
          <t>Aufgrund seiner retroperitonealen, tief im Bauchraum gelegenen Position ist er der palpatorischen Untersuchung nicht zugänglich</t>
        </is>
      </c>
    </row>
    <row r="6" ht="45" customHeight="1" s="30">
      <c r="A6" s="18" t="inlineStr">
        <is>
          <t>M. psoas major</t>
        </is>
      </c>
      <c r="B6" s="18" t="inlineStr">
        <is>
          <t>Wirbelkörper (BWK 12 / LWK 1–4) und Disci intervertebrales; Procc. costales LWK 1–5 (tiefer Anteil)</t>
        </is>
      </c>
      <c r="C6" s="18" t="inlineStr">
        <is>
          <t>Trochanter minor des Femur</t>
        </is>
      </c>
      <c r="D6" s="19" t="inlineStr">
        <is>
          <t>Hüftgelenk (Art. coxae): Flexion, Adduktion, Außenrotation
LWS (bei fixiertem Femur): Verstärkung der Lendenlordose</t>
        </is>
      </c>
      <c r="E6" s="18" t="inlineStr">
        <is>
          <t>Plexus lumbalis, L1, L2, L3</t>
        </is>
      </c>
      <c r="F6" s="18" t="inlineStr">
        <is>
          <t>Verkürzungen entstehen häufig durch langes Sitzen; klinisch relevant bei LWS-Beschwerden, Hyperlordose und dem sog. Psoassyndrom mit Leisten- und Rückenschmerzen</t>
        </is>
      </c>
      <c r="G6" s="18" t="inlineStr">
        <is>
          <t>Zugänglich in der Tiefe der Leistenregion lateral der Femoralgefäße; aufgrund seiner Lage unterhalb des Leistenbandes schwer zu isolieren</t>
        </is>
      </c>
    </row>
    <row r="7" ht="45" customHeight="1" s="30">
      <c r="A7" s="17" t="inlineStr">
        <is>
          <t>M. iliacus</t>
        </is>
      </c>
      <c r="B7" s="17" t="inlineStr">
        <is>
          <t>Fossa iliaca des Ileums und Spina iliaca anterior inferior</t>
        </is>
      </c>
      <c r="C7" s="17" t="inlineStr">
        <is>
          <t>Trochanter minor des Femur</t>
        </is>
      </c>
      <c r="D7" s="37" t="inlineStr">
        <is>
          <t>Hüftgelenk (Art. coxae): Flexion, Außenrotation
Becken (bei fixiertem Femur): Ventrale Beckenkippung</t>
        </is>
      </c>
      <c r="E7" s="17" t="inlineStr">
        <is>
          <t>Plexus lumbalis, L2, L3</t>
        </is>
      </c>
      <c r="F7" s="17" t="inlineStr">
        <is>
          <t>Bei prolongiertem Sitzen häufig verkürzt, was zu einer Hüftbeugekontraktur und Beckenkippung nach vorne führen kann; relevant bei Hüftgelenkserkrankungen</t>
        </is>
      </c>
      <c r="G7" s="17" t="inlineStr">
        <is>
          <t>Unterhalb des Leistenbandes in der Leistenregion zu tasten; fühlt sich als weicher, druckempfindlicher Wulst lateral der Femoralgefäße an</t>
        </is>
      </c>
    </row>
    <row r="8" ht="45" customHeight="1" s="30">
      <c r="A8" s="18" t="inlineStr">
        <is>
          <t>M. gluteus maximus</t>
        </is>
      </c>
      <c r="B8" s="19" t="inlineStr">
        <is>
          <t>Tiefer Teil: Ala ossis ilii (Facies glutealis), Lig. sacrotuberale
Oberflächlicher Teil: Fascia thoracolumbalis, Crista iliaca, SIPS, dorsale Fläche des Sacrums, Os coccygis</t>
        </is>
      </c>
      <c r="C8" s="19" t="inlineStr">
        <is>
          <t>Tractus iliotibialis
Tuberositas glutealis femoris</t>
        </is>
      </c>
      <c r="D8" s="19" t="inlineStr">
        <is>
          <t>Hüftgelenk (Art. coxae): Extension, Außenrotation
Iliotibiales Band: Abduktion (laterale Anteile)</t>
        </is>
      </c>
      <c r="E8" s="18" t="inlineStr">
        <is>
          <t>N. gluteus inferior, L5, S1, S2</t>
        </is>
      </c>
      <c r="F8" s="18" t="inlineStr">
        <is>
          <t>Insuffizienz führt zu positivem Trendelenburg-Zeichen; spielt eine wichtige Rolle beim Treppensteigen, Aufstehen und beim Hingleiten ins Hohlkreuz</t>
        </is>
      </c>
      <c r="G8" s="18" t="inlineStr">
        <is>
          <t>In der gesamten Gesäßregion gut palpierbar; bei angespanntem Muskel (Streckung gegen Widerstand) hebt er sich deutlich vom umliegenden Gewebe ab</t>
        </is>
      </c>
    </row>
    <row r="9" ht="45" customHeight="1" s="30">
      <c r="A9" s="17" t="inlineStr">
        <is>
          <t>M. gluteus medius</t>
        </is>
      </c>
      <c r="B9" s="17" t="inlineStr">
        <is>
          <t>Ala ossis ilii, Facies glutealis</t>
        </is>
      </c>
      <c r="C9" s="17" t="inlineStr">
        <is>
          <t>Trochanter major (lateral)</t>
        </is>
      </c>
      <c r="D9" s="37" t="inlineStr">
        <is>
          <t>Hüftgelenk (Art. coxae): Abduktion
Vordere Fasern: Flexion, Innenrotation
Hintere Fasern: Extension, Außenrotation</t>
        </is>
      </c>
      <c r="E9" s="17" t="inlineStr">
        <is>
          <t>N. gluteus superior, L4, L5, S1</t>
        </is>
      </c>
      <c r="F9" s="17" t="inlineStr">
        <is>
          <t>Insuffizienz führt zu positivem Trendelenburg-Zeichen mit Absinken des kontralateralen Beckens in der Standphase; häufige Ursache von Gangstörungen</t>
        </is>
      </c>
      <c r="G9" s="17" t="inlineStr">
        <is>
          <t>Lateral am Becken zwischen Crista iliaca und Trochanter major gut tastbar; die Muskelmasse ist seitlich der Hüfte deutlich abzugrenzen</t>
        </is>
      </c>
    </row>
    <row r="10" ht="45" customHeight="1" s="30">
      <c r="A10" s="18" t="inlineStr">
        <is>
          <t>M. gluteus minimus</t>
        </is>
      </c>
      <c r="B10" s="18" t="inlineStr">
        <is>
          <t>Ala ossis ilii, Facies glutealis</t>
        </is>
      </c>
      <c r="C10" s="18" t="inlineStr">
        <is>
          <t>Spitze des Trochanter major</t>
        </is>
      </c>
      <c r="D10" s="19" t="inlineStr">
        <is>
          <t>Hüftgelenk (Art. coxae): Abduktion
Ventrale Fasern: Innenrotation
Dorsale Fasern: Außenrotation</t>
        </is>
      </c>
      <c r="E10" s="18" t="inlineStr">
        <is>
          <t>N. gluteus superior, L4, L5, S1</t>
        </is>
      </c>
      <c r="F10" s="18" t="inlineStr">
        <is>
          <t>Funktionell eng mit dem Gluteus medius verwandt; bei Insuffizienz ebenfalls Trendelenburg-Zeichen möglich; wird selten isoliert getestet</t>
        </is>
      </c>
      <c r="G10" s="18" t="inlineStr">
        <is>
          <t>Liegt verdeckt unter dem Gluteus medius und ist von außen nicht direkt palpierbar</t>
        </is>
      </c>
    </row>
    <row r="11" ht="45" customHeight="1" s="30">
      <c r="A11" s="17" t="inlineStr">
        <is>
          <t>M. pectineus</t>
        </is>
      </c>
      <c r="B11" s="17" t="inlineStr">
        <is>
          <t>Pecten ossis pubis</t>
        </is>
      </c>
      <c r="C11" s="17" t="inlineStr">
        <is>
          <t>Linea pectinea des Femur</t>
        </is>
      </c>
      <c r="D11" s="17" t="inlineStr">
        <is>
          <t>Hüftgelenk (Art. coxae): Adduktion, Flexion, Außenrotation</t>
        </is>
      </c>
      <c r="E11" s="17" t="inlineStr">
        <is>
          <t>N. femoralis, N. obturatorius, L2, L3</t>
        </is>
      </c>
      <c r="F11" s="17" t="inlineStr">
        <is>
          <t>Adduktorenzerrungen betreffen besonders diesen Muskel, da er mechanisch stark belastet wird; als Ursprungstendinopathie am Schambein auch als Sportlerleiste bekannt</t>
        </is>
      </c>
      <c r="G11" s="17" t="inlineStr">
        <is>
          <t>Im medialen Leistenbereich gut tastbar, wenn der Oberschenkel gegen Widerstand adduziert wird; er liegt als prominenter Strang an der Oberschenkelinnenseite</t>
        </is>
      </c>
    </row>
    <row r="12" ht="45" customHeight="1" s="30">
      <c r="A12" s="18" t="inlineStr">
        <is>
          <t>M. adductor longus</t>
        </is>
      </c>
      <c r="B12" s="18" t="inlineStr">
        <is>
          <t>Os pubis, Ramus superior und inferior</t>
        </is>
      </c>
      <c r="C12" s="18" t="inlineStr">
        <is>
          <t>Linea aspera des Femur (Mitte)</t>
        </is>
      </c>
      <c r="D12" s="18" t="inlineStr">
        <is>
          <t>Hüftgelenk (Art. coxae): Adduktion, Flexion, Außenrotation</t>
        </is>
      </c>
      <c r="E12" s="18" t="inlineStr">
        <is>
          <t>N. obturatorius, L2, L3, L4</t>
        </is>
      </c>
      <c r="F12" s="18" t="inlineStr">
        <is>
          <t>Häufig zusammen mit anderen Adduktoren bei Zerrungen beteiligt; relativ kurzer Hebelarm und schmale Muskelmasse</t>
        </is>
      </c>
      <c r="G12" s="18" t="inlineStr">
        <is>
          <t>Liegt tief unter dem Adductor longus und ist von außen kaum isoliert zugänglich; eine indirekte Palpation ist bei entspannter Muskulatur möglich</t>
        </is>
      </c>
    </row>
    <row r="13" ht="45" customHeight="1" s="30">
      <c r="A13" s="17" t="inlineStr">
        <is>
          <t>M. adductor brevis</t>
        </is>
      </c>
      <c r="B13" s="17" t="inlineStr">
        <is>
          <t>Os pubis, Ramus inferior</t>
        </is>
      </c>
      <c r="C13" s="17" t="inlineStr">
        <is>
          <t>Linea pectinea (distal) und Linea aspera (proximal)</t>
        </is>
      </c>
      <c r="D13" s="17" t="inlineStr">
        <is>
          <t>Hüftgelenk (Art. coxae): Adduktion, Flexion, Außenrotation</t>
        </is>
      </c>
      <c r="E13" s="17" t="inlineStr">
        <is>
          <t>N. obturatorius, L2, L3, L4</t>
        </is>
      </c>
      <c r="F13" s="17" t="inlineStr">
        <is>
          <t>Häufig zusammen mit anderen Adduktoren bei Zerrungen beteiligt; relativ kurzer Hebelarm und schmale Muskelmasse</t>
        </is>
      </c>
      <c r="G13" s="17" t="inlineStr">
        <is>
          <t>Liegt tief unter dem Adductor longus und ist von außen kaum isoliert zugänglich; eine indirekte Palpation ist bei entspannter Muskulatur möglich</t>
        </is>
      </c>
    </row>
    <row r="14" ht="45" customHeight="1" s="30">
      <c r="A14" s="18" t="inlineStr">
        <is>
          <t>M. adductor magnus</t>
        </is>
      </c>
      <c r="B14" s="19" t="inlineStr">
        <is>
          <t>Pars superior: Os pubis, Ramus inferior und Ramus ossis ischii
Pars media: Ramus ossis ischii
Pars inferior: Tuber ischiadicum</t>
        </is>
      </c>
      <c r="C14" s="19" t="inlineStr">
        <is>
          <t>Linea aspera (proximal)
Linea aspera (distal)
Tuberculum adductorium</t>
        </is>
      </c>
      <c r="D14" s="19" t="inlineStr">
        <is>
          <t>Hüftgelenk (Art. coxae): Adduktion
Pubischer Anteil: Flexion, Außenrotation
Ischiokruraler Anteil: Extension, Innenrotation</t>
        </is>
      </c>
      <c r="E14" s="18" t="inlineStr">
        <is>
          <t>N. obturatorius, N. tibialis, L2, L3, L4, L5, S1</t>
        </is>
      </c>
      <c r="F14" s="18" t="inlineStr">
        <is>
          <t>Der Hiatus adductorius in diesem Muskel ist klinisch bedeutsam, da A. und V. femoralis hindurchtreten; Adduktorenzerrungen betreffen häufig die ischiale Ursprungspartie</t>
        </is>
      </c>
      <c r="G14" s="18" t="inlineStr">
        <is>
          <t>An der medialen Oberschenkelseite in großer Ausdehnung palpierbar; der hintere, ischiokrurale Teil ist bei gebeugtem Knie am besten abzugrenzen</t>
        </is>
      </c>
    </row>
    <row r="15" ht="45" customHeight="1" s="30">
      <c r="A15" s="17" t="inlineStr">
        <is>
          <t>M. piriformis</t>
        </is>
      </c>
      <c r="B15" s="17" t="inlineStr">
        <is>
          <t>Os sacrum, Facies pelvica</t>
        </is>
      </c>
      <c r="C15" s="17" t="inlineStr">
        <is>
          <t>Trochanter major des Femur</t>
        </is>
      </c>
      <c r="D15" s="37" t="inlineStr">
        <is>
          <t>Hüftgelenk (Art. coxae): Außenrotation
Bei 90° Flexion: zusätzlich Abduktion</t>
        </is>
      </c>
      <c r="E15" s="17" t="inlineStr">
        <is>
          <t>Plexus sacralis, S1, S2</t>
        </is>
      </c>
      <c r="F15" s="17" t="inlineStr">
        <is>
          <t>Das Piriformis-Syndrom beschreibt eine Reizung des N. ischiadicus durch den Muskel, da der Nerv in seltenen Varianten durch den Muskel verläuft; typisch: gluteale und pseudoradikuläre Schmerzen</t>
        </is>
      </c>
      <c r="G15" s="17" t="inlineStr">
        <is>
          <t>Liegt tief unter dem Gluteus maximus und ist von außen nicht sicher palpierbar; indirekte Druckdolenz in der Glutealregion kann auf Reizung hinweisen</t>
        </is>
      </c>
    </row>
    <row r="16" ht="45" customHeight="1" s="30">
      <c r="A16" s="18" t="inlineStr">
        <is>
          <t>M. obturatorius internus</t>
        </is>
      </c>
      <c r="B16" s="18" t="inlineStr">
        <is>
          <t>Os coxae und Membrana obturatoria (Innenseite)</t>
        </is>
      </c>
      <c r="C16" s="18" t="inlineStr">
        <is>
          <t>Fossa trochanterica des Femur</t>
        </is>
      </c>
      <c r="D16" s="18" t="inlineStr">
        <is>
          <t>Hüftgelenk (Art. coxae): Außenrotation</t>
        </is>
      </c>
      <c r="E16" s="18" t="inlineStr">
        <is>
          <t>Plexus sacralis, L5, S1</t>
        </is>
      </c>
      <c r="F16" s="18" t="inlineStr">
        <is>
          <t>Gehört zur Gruppe der tiefen Außenrotatoren; bei Verletzungen oder Reizzuständen können Beschwerden die ischiadikusähnliche Symptomatik imitieren</t>
        </is>
      </c>
      <c r="G16" s="18" t="inlineStr">
        <is>
          <t>Aufgrund seiner tiefen, intrapelvinen Lage ist er klinisch nicht palpierbar</t>
        </is>
      </c>
    </row>
    <row r="17" ht="45" customHeight="1" s="30">
      <c r="A17" s="17" t="inlineStr">
        <is>
          <t>M. obturatorius externus</t>
        </is>
      </c>
      <c r="B17" s="17" t="inlineStr">
        <is>
          <t>Os coxae und Membrana obturatoria (Außenseite)</t>
        </is>
      </c>
      <c r="C17" s="17" t="inlineStr">
        <is>
          <t>Fossa trochanterica des Femur</t>
        </is>
      </c>
      <c r="D17" s="17" t="inlineStr">
        <is>
          <t>Hüftgelenk (Art. coxae): Außenrotation</t>
        </is>
      </c>
      <c r="E17" s="17" t="inlineStr">
        <is>
          <t>N. obturatorius, L3, L4</t>
        </is>
      </c>
      <c r="F17" s="17" t="inlineStr">
        <is>
          <t>Teil der tiefen Außenrotatorengruppe; klinisch häufig zusammen mit Piriformis und den Gemelli beurteilt; gut zu testen im Seitenvergleich der Außenrotationskraft</t>
        </is>
      </c>
      <c r="G17" s="17" t="inlineStr">
        <is>
          <t>Liegt tief in der Gesäßregion und ist der direkten Palpation nicht zugänglich</t>
        </is>
      </c>
    </row>
    <row r="18" ht="45" customHeight="1" s="30">
      <c r="A18" s="18" t="inlineStr">
        <is>
          <t>M. gemellus superior</t>
        </is>
      </c>
      <c r="B18" s="18" t="inlineStr">
        <is>
          <t>Spina ischiadica</t>
        </is>
      </c>
      <c r="C18" s="18" t="inlineStr">
        <is>
          <t>Fossa trochanterica des Femur</t>
        </is>
      </c>
      <c r="D18" s="18" t="inlineStr">
        <is>
          <t>Hüftgelenk (Art. coxae): Außenrotation</t>
        </is>
      </c>
      <c r="E18" s="18" t="inlineStr">
        <is>
          <t>Plexus sacralis, L5, S1</t>
        </is>
      </c>
      <c r="F18" s="18" t="inlineStr">
        <is>
          <t>Ebenfalls Teil der tiefen Außenrotatorengruppe; klinisch kaum isoliert testbar, wird funktionell immer mit dem M. obturatorius internus bewertet</t>
        </is>
      </c>
      <c r="G18" s="18" t="inlineStr">
        <is>
          <t>Liegt zu tief unter der Gesäßmuskulatur, um direkt getastet werden zu können</t>
        </is>
      </c>
    </row>
    <row r="19" ht="45" customHeight="1" s="30">
      <c r="A19" s="17" t="inlineStr">
        <is>
          <t>M. gemellus inferior</t>
        </is>
      </c>
      <c r="B19" s="17" t="inlineStr">
        <is>
          <t>Tuber ischiadicum</t>
        </is>
      </c>
      <c r="C19" s="17" t="inlineStr">
        <is>
          <t>Fossa trochanterica des Femur</t>
        </is>
      </c>
      <c r="D19" s="17" t="inlineStr">
        <is>
          <t>Hüftgelenk (Art. coxae): Außenrotation</t>
        </is>
      </c>
      <c r="E19" s="17" t="inlineStr">
        <is>
          <t>Plexus sacralis, L5, S1</t>
        </is>
      </c>
      <c r="F19" s="17" t="inlineStr">
        <is>
          <t>Tiefe Außenrotatorengruppe; bei Reizung oder Verspannung kann Druckdolenz am Tuber ischiadicum auf diesen Muskel hindeuten</t>
        </is>
      </c>
      <c r="G19" s="17" t="inlineStr">
        <is>
          <t>Liegt zu tief in der Glutealregion, um von außen direkt getastet werden zu können</t>
        </is>
      </c>
    </row>
    <row r="20" ht="45" customHeight="1" s="30">
      <c r="A20" s="18" t="inlineStr">
        <is>
          <t>M. quadratus femoris</t>
        </is>
      </c>
      <c r="B20" s="18" t="inlineStr">
        <is>
          <t>Tuber ischiadicum (lateral)</t>
        </is>
      </c>
      <c r="C20" s="18" t="inlineStr">
        <is>
          <t>Crista intertrochanterica des Femur</t>
        </is>
      </c>
      <c r="D20" s="18" t="inlineStr">
        <is>
          <t>Hüftgelenk (Art. coxae): Außenrotation, Adduktion</t>
        </is>
      </c>
      <c r="E20" s="18" t="inlineStr">
        <is>
          <t>Plexus sacralis, L4, L5, S1</t>
        </is>
      </c>
      <c r="F20" s="18" t="inlineStr">
        <is>
          <t>Tiefe Außenrotatorengruppe; bei Reizung oder Verspannung kann Druckdolenz am Tuber ischiadicum auf diesen Muskel hindeuten</t>
        </is>
      </c>
      <c r="G20" s="18" t="inlineStr">
        <is>
          <t>Liegt zu tief in der Glutealregion, um von außen direkt getastet werden zu können</t>
        </is>
      </c>
    </row>
    <row r="21" ht="45" customHeight="1" s="30">
      <c r="A21" s="17" t="inlineStr">
        <is>
          <t>M. tensor fasciae latae</t>
        </is>
      </c>
      <c r="B21" s="17" t="inlineStr">
        <is>
          <t>Spina iliaca anterior superior</t>
        </is>
      </c>
      <c r="C21" s="17" t="inlineStr">
        <is>
          <t>Tractus iliotibialis, Tuberculum von Gerdy an der Tibia</t>
        </is>
      </c>
      <c r="D21" s="37" t="inlineStr">
        <is>
          <t>Hüftgelenk (Art. coxae): Abduktion, Flexion, Innenrotation
Kniegelenk (Art. genus): Flexion, Spannung des Tractus iliotibialis</t>
        </is>
      </c>
      <c r="E21" s="17" t="inlineStr">
        <is>
          <t>N. gluteus superior, L4, L5, S1</t>
        </is>
      </c>
      <c r="F21" s="17" t="inlineStr">
        <is>
          <t>Das Tractus-iliotibialis-Syndrom (Läuferknie) tritt häufig bei Langstreckenläufern auf; der TFL zieht an der Außenseite des Kniegelenks und kann den Tractus überdehnen</t>
        </is>
      </c>
      <c r="G21" s="17" t="inlineStr">
        <is>
          <t>Am anterolateralen Beckenkamm unterhalb der SIAS tastbar; als kompakter Muskelbauch deutlich abgrenzbar, besonders bei Anspannung</t>
        </is>
      </c>
    </row>
    <row r="22" ht="45" customHeight="1" s="30">
      <c r="A22" s="18" t="inlineStr">
        <is>
          <t>M. sartorius</t>
        </is>
      </c>
      <c r="B22" s="18" t="inlineStr">
        <is>
          <t>Spina iliaca anterior superior</t>
        </is>
      </c>
      <c r="C22" s="18" t="inlineStr">
        <is>
          <t>Tibia, Facies medialis (Pes anserinus)</t>
        </is>
      </c>
      <c r="D22" s="19" t="inlineStr">
        <is>
          <t>Hüftgelenk (Art. coxae): Flexion, Außenrotation, Abduktion
Kniegelenk (Art. genus): Flexion, Innenrotation des Unterschenkels</t>
        </is>
      </c>
      <c r="E22" s="18" t="inlineStr">
        <is>
          <t>N. femoralis, L2, L3</t>
        </is>
      </c>
      <c r="F22" s="18" t="inlineStr">
        <is>
          <t>Pes-anserinus-Syndrom: Entzündung der gemeinsamen Ansatzsehne (Sartorius, Gracilis, Semitendinosus) am medialen Tibiakopf; typisch bei Überbelastung oder Gonarthrose</t>
        </is>
      </c>
      <c r="G22" s="18" t="inlineStr">
        <is>
          <t>Als länglichem, schräg verlaufenden Strang über den Oberschenkel tastbar; am deutlichsten bei gleichzeitiger Hüftflexion, Außenrotation und Kniebeugung</t>
        </is>
      </c>
    </row>
    <row r="23" ht="45" customHeight="1" s="30">
      <c r="A23" s="17" t="inlineStr">
        <is>
          <t>M. gracilis</t>
        </is>
      </c>
      <c r="B23" s="17" t="inlineStr">
        <is>
          <t>Os pubis, Ramus inferior</t>
        </is>
      </c>
      <c r="C23" s="17" t="inlineStr">
        <is>
          <t>Tibia, Facies medialis (Pes anserinus)</t>
        </is>
      </c>
      <c r="D23" s="37" t="inlineStr">
        <is>
          <t>Hüftgelenk (Art. coxae): Adduktion
Kniegelenk (Art. genus): Flexion, Innenrotation des Unterschenkels</t>
        </is>
      </c>
      <c r="E23" s="17" t="inlineStr">
        <is>
          <t>N. obturatorius, L2, L3</t>
        </is>
      </c>
      <c r="F23" s="17" t="inlineStr">
        <is>
          <t>Pes-anserinus-Syndrom (Insertion am medialen Tibiakopf); die Sehne wird zudem als autologes Transplantat bei Kreuzbandrekonstruktionen verwendet</t>
        </is>
      </c>
      <c r="G23" s="17" t="inlineStr">
        <is>
          <t>Als dünner, senkrechter Strang an der Oberschenkelinnenseite tastbar; bei Adduktion gegen Widerstand gut hervorzurufen</t>
        </is>
      </c>
    </row>
    <row r="24" ht="19.95" customHeight="1" s="30">
      <c r="A24" s="28" t="inlineStr">
        <is>
          <t>── KNIE ──</t>
        </is>
      </c>
    </row>
    <row r="25" ht="45" customHeight="1" s="30">
      <c r="A25" s="20" t="inlineStr">
        <is>
          <t>M. rectus femoris</t>
        </is>
      </c>
      <c r="B25" s="20" t="inlineStr">
        <is>
          <t>Spina iliaca anterior inferior und Azetabulum (oberer Rand)</t>
        </is>
      </c>
      <c r="C25" s="20" t="inlineStr">
        <is>
          <t>Tuberositas tibiae (via Patellarsehne)</t>
        </is>
      </c>
      <c r="D25" s="38" t="inlineStr">
        <is>
          <t>Hüftgelenk (Art. coxae): Flexion
Kniegelenk (Art. genus): Extension
(Einziger zweigelenkiger Quadricepsanteil)</t>
        </is>
      </c>
      <c r="E25" s="20" t="inlineStr">
        <is>
          <t>N. femoralis, L2, L3, L4</t>
        </is>
      </c>
      <c r="F25" s="20" t="inlineStr">
        <is>
          <t>Risse der Quadricepssehne oder der Patellarsehne entstehen oft durch exzentrische Überlastung; der Rectus femoris ist als einziger Quadricepsanteil zweigelenkig und damit besonders gefährdet</t>
        </is>
      </c>
      <c r="G25" s="20" t="inlineStr">
        <is>
          <t>An der vorderen Oberschenkelmitte als erhabener Wulst tastbar; bei Kniestreckung gegen Widerstand deutlich unter der Haut zu spüren</t>
        </is>
      </c>
    </row>
    <row r="26" ht="45" customHeight="1" s="30">
      <c r="A26" s="21" t="inlineStr">
        <is>
          <t>M. biceps femoris – Caput longum</t>
        </is>
      </c>
      <c r="B26" s="21" t="inlineStr">
        <is>
          <t>Tuber ischiadicum</t>
        </is>
      </c>
      <c r="C26" s="22" t="inlineStr">
        <is>
          <t>Caput fibulae
Condylus lateralis tibiae</t>
        </is>
      </c>
      <c r="D26" s="22" t="inlineStr">
        <is>
          <t>Hüftgelenk (Art. coxae): Extension
Kniegelenk (Art. genus): Flexion
Bei gebeugtem Knie: Außenrotation des Unterschenkels</t>
        </is>
      </c>
      <c r="E26" s="21" t="inlineStr">
        <is>
          <t>N. tibialis, L5, S1, S2</t>
        </is>
      </c>
      <c r="F26" s="21" t="inlineStr">
        <is>
          <t>Ischiokrurale Zerrungen betreffen besonders die Ursprungsregion am Tuber ischiadicum; das Hamstring-Syndrom bezeichnet chronische Beschwerden durch narbige Veränderungen der Ischiokruralen</t>
        </is>
      </c>
      <c r="G26" s="21" t="inlineStr">
        <is>
          <t>Lateral an der Oberschenkelrückseite palpierbar; die Sehne ist am Knieaußenrand oberhalb des Wadenbeinknochens sicher zu tasten</t>
        </is>
      </c>
    </row>
    <row r="27" ht="45" customHeight="1" s="30">
      <c r="A27" s="20" t="inlineStr">
        <is>
          <t>M. semitendinosus</t>
        </is>
      </c>
      <c r="B27" s="20" t="inlineStr">
        <is>
          <t>Tuber ischiadicum</t>
        </is>
      </c>
      <c r="C27" s="20" t="inlineStr">
        <is>
          <t>Tibia, Facies medialis (Pes anserinus)</t>
        </is>
      </c>
      <c r="D27" s="38" t="inlineStr">
        <is>
          <t>Hüftgelenk (Art. coxae): Extension
Kniegelenk (Art. genus): Flexion
Bei gebeugtem Knie: Innenrotation des Unterschenkels</t>
        </is>
      </c>
      <c r="E27" s="20" t="inlineStr">
        <is>
          <t>N. tibialis, L5, S1, S2</t>
        </is>
      </c>
      <c r="F27" s="20" t="inlineStr">
        <is>
          <t>Zerrungen entstehen typischerweise beim Sprint oder schnellen Antritt; die Sehne dient als autologes Transplantat (z.B. Semitendinosus-Plastik) bei vorderem Kreuzbandriss</t>
        </is>
      </c>
      <c r="G27" s="20" t="inlineStr">
        <is>
          <t>Medial an der Rückseite des Oberschenkels tastbar; die lange Sehne wird gut sichtbar, wenn das Knie gegen Widerstand gebeugt wird</t>
        </is>
      </c>
    </row>
    <row r="28" ht="45" customHeight="1" s="30">
      <c r="A28" s="21" t="inlineStr">
        <is>
          <t>M. semimembranosus</t>
        </is>
      </c>
      <c r="B28" s="21" t="inlineStr">
        <is>
          <t>Tuber ischiadicum</t>
        </is>
      </c>
      <c r="C28" s="22" t="inlineStr">
        <is>
          <t>Condylus medialis tibiae
Lig. popliteum obliquum</t>
        </is>
      </c>
      <c r="D28" s="22" t="inlineStr">
        <is>
          <t>Hüftgelenk (Art. coxae): Extension
Kniegelenk (Art. genus): Flexion
Bei gebeugtem Knie: Innenrotation des Unterschenkels</t>
        </is>
      </c>
      <c r="E28" s="21" t="inlineStr">
        <is>
          <t>N. tibialis, L5, S1, S2</t>
        </is>
      </c>
      <c r="F28" s="21" t="inlineStr">
        <is>
          <t>Wie Semitendinosus ischiokrural gefährdet; die semimembranosus-Sehne kann eine Baker-Zyste unterhalten, wenn sie bei Kniepathologien mechanisch reizt</t>
        </is>
      </c>
      <c r="G28" s="21" t="inlineStr">
        <is>
          <t>Tief medial unter dem Semitendinosus zu ertasten; der breitflächige Ansatz am medialen Tibiakondylus ist bei flektiertem Knie spaltbar vom Semitendinosus</t>
        </is>
      </c>
    </row>
    <row r="29" ht="45" customHeight="1" s="30">
      <c r="A29" s="20" t="inlineStr">
        <is>
          <t>M. vastus medialis</t>
        </is>
      </c>
      <c r="B29" s="20" t="inlineStr">
        <is>
          <t>Labium mediale der Linea aspera (dorsomedial)</t>
        </is>
      </c>
      <c r="C29" s="20" t="inlineStr">
        <is>
          <t>Tuberositas tibiae (via Patellarsehne), Retinaculum patellae</t>
        </is>
      </c>
      <c r="D29" s="38" t="inlineStr">
        <is>
          <t>Kniegelenk (Art. genus): Extension
Patellamediale Stabilisierung (VMO-Anteil)</t>
        </is>
      </c>
      <c r="E29" s="20" t="inlineStr">
        <is>
          <t>N. femoralis, L2, L3, L4</t>
        </is>
      </c>
      <c r="F29" s="20" t="inlineStr">
        <is>
          <t>VMO-Insuffizienz (vastus medialis oblique) begründet laterale Patellainstabilität und Patellaluxation; gezieltes Training des VMO ist Bestandteil vieler Knierehabilitationsprogramme</t>
        </is>
      </c>
      <c r="G29" s="20" t="inlineStr">
        <is>
          <t>Am medialen Oberschenkel kurz oberhalb der Kniescheibe tastbar; der schräg verlaufende Anteil (VMO) ist bei Kniestreckung besonders deutlich zu spüren</t>
        </is>
      </c>
    </row>
    <row r="30" ht="45" customHeight="1" s="30">
      <c r="A30" s="21" t="inlineStr">
        <is>
          <t>M. vastus intermedius</t>
        </is>
      </c>
      <c r="B30" s="21" t="inlineStr">
        <is>
          <t>Corpus femoris (ventral)</t>
        </is>
      </c>
      <c r="C30" s="21" t="inlineStr">
        <is>
          <t>Tuberositas tibiae (via Patellarsehne), Retinaculum patellae</t>
        </is>
      </c>
      <c r="D30" s="21" t="inlineStr">
        <is>
          <t>Kniegelenk (Art. genus): Extension</t>
        </is>
      </c>
      <c r="E30" s="21" t="inlineStr">
        <is>
          <t>N. femoralis, L2, L3, L4</t>
        </is>
      </c>
      <c r="F30" s="21" t="inlineStr">
        <is>
          <t>Ruptur der Quadricepssehne kann alle vier Köpfe betreffen; der Vastus intermedius liegt am tiefsten und ist diagnostisch oft erst in der MRT-Bildgebung beurteilbar</t>
        </is>
      </c>
      <c r="G30" s="21" t="inlineStr">
        <is>
          <t>Liegt vollständig unter dem Rectus femoris und ist einer direkten Palpation nicht zugänglich</t>
        </is>
      </c>
    </row>
    <row r="31" ht="45" customHeight="1" s="30">
      <c r="A31" s="20" t="inlineStr">
        <is>
          <t>M. vastus lateralis</t>
        </is>
      </c>
      <c r="B31" s="20" t="inlineStr">
        <is>
          <t>Trochanter major und Labium laterale der Linea aspera (dorsolateral)</t>
        </is>
      </c>
      <c r="C31" s="20" t="inlineStr">
        <is>
          <t>Tuberositas tibiae (via Patellarsehne), Retinaculum patellae</t>
        </is>
      </c>
      <c r="D31" s="20" t="inlineStr">
        <is>
          <t>Kniegelenk (Art. genus): Extension</t>
        </is>
      </c>
      <c r="E31" s="20" t="inlineStr">
        <is>
          <t>N. femoralis, L2, L3, L4</t>
        </is>
      </c>
      <c r="F31" s="20" t="inlineStr">
        <is>
          <t>Bei Tractus-iliotibialis-Syndrom kann der verdickte Tractus auf den Vastus lateralis Druck ausüben; auch bei vorderem Knieschmerz und Patelladysplasie klinisch relevant</t>
        </is>
      </c>
      <c r="G31" s="20" t="inlineStr">
        <is>
          <t>Seitlich am Oberschenkel gut tastbar; als breite Muskelmasse von Trochanter major bis zur Patella palpierbar</t>
        </is>
      </c>
    </row>
    <row r="32" ht="45" customHeight="1" s="30">
      <c r="A32" s="21" t="inlineStr">
        <is>
          <t>M. biceps femoris – Caput breve</t>
        </is>
      </c>
      <c r="B32" s="21" t="inlineStr">
        <is>
          <t>Linea aspera des Femur (mittlerer Teil)</t>
        </is>
      </c>
      <c r="C32" s="21" t="inlineStr">
        <is>
          <t>Caput fibulae</t>
        </is>
      </c>
      <c r="D32" s="22" t="inlineStr">
        <is>
          <t>Kniegelenk (Art. genus): Flexion
Bei gebeugtem Knie: Außenrotation des Unterschenkels</t>
        </is>
      </c>
      <c r="E32" s="21" t="inlineStr">
        <is>
          <t>N. peroneus communis, L5, S1, S2</t>
        </is>
      </c>
      <c r="F32" s="21" t="inlineStr">
        <is>
          <t>Klinisch selten isoliert betrachtet; gehört der ischiokruralen Gruppe an; bei N.-peroneus-communis-Läsion kann die Außenrotationsfähigkeit des Kniegelenks eingeschränkt sein</t>
        </is>
      </c>
      <c r="G32" s="21" t="inlineStr">
        <is>
          <t>Dorsolateral am Oberschenkel distal palpierbar; die Sehne ist am Wadenbeinknochenkopf zu tasten</t>
        </is>
      </c>
    </row>
    <row r="33" ht="45" customHeight="1" s="30">
      <c r="A33" s="20" t="inlineStr">
        <is>
          <t>M. articularis genus</t>
        </is>
      </c>
      <c r="B33" s="20" t="inlineStr">
        <is>
          <t>Corpus femoris (ventral)</t>
        </is>
      </c>
      <c r="C33" s="20" t="inlineStr">
        <is>
          <t>Kniegelenkkapsel (Recessus suprapatellaris)</t>
        </is>
      </c>
      <c r="D33" s="20" t="inlineStr">
        <is>
          <t>Kniegelenk (Art. genus): Spannung des Recessus suprapatellaris (verhindert Kapsel-Einklemmen bei Streckung)</t>
        </is>
      </c>
      <c r="E33" s="20" t="inlineStr">
        <is>
          <t>N. femoralis, L3, L4</t>
        </is>
      </c>
      <c r="F33" s="20" t="inlineStr">
        <is>
          <t>Verhindert das Einklemmen des Recessus suprapatellaris bei aktiver Kniestreckung; klinisch kaum isoliert untersuchbar, aber bei rezidivierenden Kniebeschwerden relevant</t>
        </is>
      </c>
      <c r="G33" s="20" t="inlineStr">
        <is>
          <t>Liegt vollständig unter dem M. vastus intermedius; klinisch nicht palpierbar</t>
        </is>
      </c>
    </row>
    <row r="34" ht="45" customHeight="1" s="30">
      <c r="A34" s="21" t="inlineStr">
        <is>
          <t>M. popliteus</t>
        </is>
      </c>
      <c r="B34" s="21" t="inlineStr">
        <is>
          <t>Epicondylus lateralis femoris, Hinterseite der Gelenkkapsel, Meniscus lateralis</t>
        </is>
      </c>
      <c r="C34" s="21" t="inlineStr">
        <is>
          <t>Tibia, Facies posterior</t>
        </is>
      </c>
      <c r="D34" s="21" t="inlineStr">
        <is>
          <t>Kniegelenk (Art. genus): Flexion, Innenrotation des Unterschenkels (Entriegelung aus Vollextension)</t>
        </is>
      </c>
      <c r="E34" s="21" t="inlineStr">
        <is>
          <t>N. tibialis, L4, L5, S1</t>
        </is>
      </c>
      <c r="F34" s="21" t="inlineStr">
        <is>
          <t>Gilt als Schlüssel zur Kniebeweglichkeit: Er 'entriegelt' das voll gestreckte Knie durch Innenrotation, bevor eine Flexion möglich ist; Verletzungen können Knieblockaden verursachen</t>
        </is>
      </c>
      <c r="G34" s="21" t="inlineStr">
        <is>
          <t>In der Fossa poplitea tief tastbar; am besten bei leicht gebeugtem Knie; die Sehne ist lateral des medialen Gastrocnemiuskopfes zu ertasten</t>
        </is>
      </c>
    </row>
    <row r="35" ht="19.95" customHeight="1" s="30">
      <c r="A35" s="28" t="inlineStr">
        <is>
          <t>── FUSS ──</t>
        </is>
      </c>
    </row>
    <row r="36" ht="45" customHeight="1" s="30">
      <c r="A36" s="23" t="inlineStr">
        <is>
          <t>M. gastrocnemius</t>
        </is>
      </c>
      <c r="B36" s="24" t="inlineStr">
        <is>
          <t>Caput mediale: Femur, Facies poplitea, Condylus medialis
Caput laterale: Femur, Facies poplitea, Condylus lateralis</t>
        </is>
      </c>
      <c r="C36" s="23" t="inlineStr">
        <is>
          <t>Tuber calcanei (über Achillessehne)</t>
        </is>
      </c>
      <c r="D36" s="23" t="inlineStr">
        <is>
          <t>Beugt das Knie und plantarflektiert den Fuß; unterstützt die Supination; sorgt als zweigelenkiger Muskel für die Kraftentfaltung beim Zehenstand und Abstoßen</t>
        </is>
      </c>
      <c r="E36" s="23" t="inlineStr">
        <is>
          <t>N. tibialis</t>
        </is>
      </c>
      <c r="F36" s="23" t="inlineStr">
        <is>
          <t>Wadenkrämpfe entstehen häufig durch Erschöpfung oder Elektrolytmangel; Achillessehnenrupturen treffen oft den Übergang zwischen Muskel und Sehne; als Suralispumpe fördert er venoses Blut herzwärts</t>
        </is>
      </c>
      <c r="G36" s="23" t="inlineStr">
        <is>
          <t>Medialer und lateraler Muskelbauch gut in der Wadenregion palpierbar; zwischen den beiden Köpfen verläuft eine tastbare Rinne</t>
        </is>
      </c>
    </row>
    <row r="37" ht="45" customHeight="1" s="30">
      <c r="A37" s="25" t="inlineStr">
        <is>
          <t>M. soleus</t>
        </is>
      </c>
      <c r="B37" s="25" t="inlineStr">
        <is>
          <t>Dorsale Tibia, Fibula und Arcus tendineus</t>
        </is>
      </c>
      <c r="C37" s="25" t="inlineStr">
        <is>
          <t>Tuber calcanei (über Achillessehne)</t>
        </is>
      </c>
      <c r="D37" s="25" t="inlineStr">
        <is>
          <t>Plantarflektiert den Fuß unabhängig von der Kniestellung; supiniert; als stärkster Plantarflexor ist er beim Gehen, Laufen und Treppensteigen essentiell</t>
        </is>
      </c>
      <c r="E37" s="25" t="inlineStr">
        <is>
          <t>N. tibialis</t>
        </is>
      </c>
      <c r="F37" s="25" t="inlineStr">
        <is>
          <t>Bedeutsam als tiefe Beinvene verlaufende Muskelpumpe bei der Thromboseprophylaxe; Achillessehnenruptur und posteriores Kompartmentsyndrom betreffen auch den Soleus</t>
        </is>
      </c>
      <c r="G37" s="25" t="inlineStr">
        <is>
          <t>Unterhalb des Gastrocnemius in der Wadenregion palpierbar; der breite Muskelbauch tritt seitlich unter dem Gastrocnemius hervor</t>
        </is>
      </c>
    </row>
    <row r="38" ht="45" customHeight="1" s="30">
      <c r="A38" s="23" t="inlineStr">
        <is>
          <t>M. plantaris</t>
        </is>
      </c>
      <c r="B38" s="23" t="inlineStr">
        <is>
          <t>Femur, Facies poplitea</t>
        </is>
      </c>
      <c r="C38" s="23" t="inlineStr">
        <is>
          <t>Tuber calcanei</t>
        </is>
      </c>
      <c r="D38" s="23" t="inlineStr">
        <is>
          <t>Schwächer Plantarflexor und Kniebeuger; bei fehlendem Muskel übernehmen Gastrocnemius und Soleus vollständig seine Funktion</t>
        </is>
      </c>
      <c r="E38" s="23" t="inlineStr">
        <is>
          <t>N. tibialis</t>
        </is>
      </c>
      <c r="F38" s="23" t="inlineStr">
        <is>
          <t>Fehlt bei etwa 15 % der Bevölkerung; seine dünne Sehne ist als Transplantatmaterial beliebt (z.B. für Bandrekonstruktionen); klinisch selten symptomatisch</t>
        </is>
      </c>
      <c r="G38" s="23" t="inlineStr">
        <is>
          <t>Die sehr feine Sehne ist in der Fossa poplitea zwischen Gastrocnemius und Soleus kaum sicher palpierbar</t>
        </is>
      </c>
    </row>
    <row r="39" ht="45" customHeight="1" s="30">
      <c r="A39" s="25" t="inlineStr">
        <is>
          <t>M. tibialis anterior</t>
        </is>
      </c>
      <c r="B39" s="25" t="inlineStr">
        <is>
          <t>Tibia, Condylus und Facies lateralis (proximal); Membrana interossea</t>
        </is>
      </c>
      <c r="C39" s="25" t="inlineStr">
        <is>
          <t>Os cuneiforme I und Os metatarsale I (Basis)</t>
        </is>
      </c>
      <c r="D39" s="25" t="inlineStr">
        <is>
          <t>Hebt den Fuß (Dorsalextension) und supiniert; stützt das mediale Längsgewölbe; bei der Gangabwicklung verhindert er das Fußaufklappen</t>
        </is>
      </c>
      <c r="E39" s="25" t="inlineStr">
        <is>
          <t>N. peroneus profundus</t>
        </is>
      </c>
      <c r="F39" s="25" t="inlineStr">
        <is>
          <t>Bei N.-peroneus-profundus-Parese entsteht eine Fußheberschwäche (Fallfuß); bei Kompartmentsyndrom des vorderen Loge ist dieser Muskel besonders betroffen</t>
        </is>
      </c>
      <c r="G39" s="25" t="inlineStr">
        <is>
          <t>Anterolateral an der Tibia leicht tastbar; bei Dorsalextension gegen Widerstand ist die Sehne als prominenter Strang auf dem Fußrücken sichtbar</t>
        </is>
      </c>
    </row>
    <row r="40" ht="45" customHeight="1" s="30">
      <c r="A40" s="23" t="inlineStr">
        <is>
          <t>M. tibialis posterior</t>
        </is>
      </c>
      <c r="B40" s="23" t="inlineStr">
        <is>
          <t>Facies posterior tibiae et fibulae und Membrana interossea</t>
        </is>
      </c>
      <c r="C40" s="24" t="inlineStr">
        <is>
          <t>Os naviculare (Tuberositas), Ossa cuneiformia (plantare Seite)
Os cuboideum und Os metatarsale II–IV (Basis)</t>
        </is>
      </c>
      <c r="D40" s="23" t="inlineStr">
        <is>
          <t>Plantarflektiert und supiniert den Fuß; wichtigster statischer und dynamischer Stabilisator des medialen Längsgewölbes</t>
        </is>
      </c>
      <c r="E40" s="23" t="inlineStr">
        <is>
          <t>N. tibialis</t>
        </is>
      </c>
      <c r="F40" s="23" t="inlineStr">
        <is>
          <t>Insuffizienz führt zum Kollaps des medialen Gewölbes und progressivem Plattfuß; Tarsaltunnelsyndrom kann den N. tibialis hinter dem Innenknöchel einklemmen</t>
        </is>
      </c>
      <c r="G40" s="23" t="inlineStr">
        <is>
          <t>Die Sehne ist hinter dem Innenknöchel in der Rinne zwischen Malleolus medialis und Achillessehne tastbar; am besten bei Supination und Plantarflexion</t>
        </is>
      </c>
    </row>
    <row r="41" ht="45" customHeight="1" s="30">
      <c r="A41" s="25" t="inlineStr">
        <is>
          <t>M. fibularis longus (M. peroneus longus)</t>
        </is>
      </c>
      <c r="B41" s="25" t="inlineStr">
        <is>
          <t>Condylus lateralis tibiae, Caput fibulae und Facies lateralis fibulae (proximal)</t>
        </is>
      </c>
      <c r="C41" s="25" t="inlineStr">
        <is>
          <t>Os cuneiforme I und Os metatarsale I (Tuberositas, plantar)</t>
        </is>
      </c>
      <c r="D41" s="25" t="inlineStr">
        <is>
          <t>Plantarflektiert und proniert den Fuß; verspannt das Quergewölbe durch seinen diagonalen Verlauf auf der Fußsohle</t>
        </is>
      </c>
      <c r="E41" s="25" t="inlineStr">
        <is>
          <t>N. peroneus superficialis</t>
        </is>
      </c>
      <c r="F41" s="25" t="inlineStr">
        <is>
          <t>Peronealsehnenruptur und -luxation entstehen oft durch Supinationstrauma; am lateralen Fuß kann die Sehne hinter dem Außenknöchel aus ihrem Kanal springen (Luxation)</t>
        </is>
      </c>
      <c r="G41" s="25" t="inlineStr">
        <is>
          <t>Entlang der lateralen Fibula gut tastbar; die Sehne ist hinter dem Außenknöchel bei Pronation deutlich zu verfolgen</t>
        </is>
      </c>
    </row>
    <row r="42" ht="45" customHeight="1" s="30">
      <c r="A42" s="23" t="inlineStr">
        <is>
          <t>M. fibularis brevis (M. peroneus brevis)</t>
        </is>
      </c>
      <c r="B42" s="23" t="inlineStr">
        <is>
          <t>Facies lateralis fibulae (distal)</t>
        </is>
      </c>
      <c r="C42" s="23" t="inlineStr">
        <is>
          <t>Os metatarsale V (Tuberositas)</t>
        </is>
      </c>
      <c r="D42" s="23" t="inlineStr">
        <is>
          <t>Plantarflektiert und proniert den Fuß; wichtig für die seitliche Fußstabilisierung</t>
        </is>
      </c>
      <c r="E42" s="23" t="inlineStr">
        <is>
          <t>N. peroneus superficialis</t>
        </is>
      </c>
      <c r="F42" s="23" t="inlineStr">
        <is>
          <t>Avulsionsfraktur an der Tuberositas ossis metatarsalis V entsteht typischerweise bei Supinationstrauma durch Zug der Peroneus-brevis-Sehne; Peronealsehnenruptur ebenfalls möglich</t>
        </is>
      </c>
      <c r="G42" s="23" t="inlineStr">
        <is>
          <t>Distale Fibula lateral tastbar; die Sehne läuft hinter dem Außenknöchel (ventral der Peroneus-longus-Sehne) und endet am 5. Mittelfußknochen</t>
        </is>
      </c>
    </row>
    <row r="43" ht="45" customHeight="1" s="30">
      <c r="A43" s="25" t="inlineStr">
        <is>
          <t>M. extensor digitorum longus</t>
        </is>
      </c>
      <c r="B43" s="25" t="inlineStr">
        <is>
          <t>Condylus lateralis tibiae, Facies medialis fibulae und Membrana interossea</t>
        </is>
      </c>
      <c r="C43" s="26" t="inlineStr">
        <is>
          <t>Dorsalaponeurose der Zehen II–V
Os metatarsale V (dorsal)</t>
        </is>
      </c>
      <c r="D43" s="25" t="inlineStr">
        <is>
          <t>Dorsalextendiert den Fuß und proniert; streckt die Zehen II–V in den MTP- und IP-Gelenken; unterstützt das Anheben der Zehenspitzen beim Gehen</t>
        </is>
      </c>
      <c r="E43" s="25" t="inlineStr">
        <is>
          <t>N. peroneus profundus</t>
        </is>
      </c>
      <c r="F43" s="25" t="inlineStr">
        <is>
          <t>Bei N.-peroneus-profundus-Parese fällt die Zehenstreckung gemeinsam mit der Fußhebung aus; vorderes Kompartmentsyndrom betrifft diesen Muskel ebenfalls</t>
        </is>
      </c>
      <c r="G43" s="25" t="inlineStr">
        <is>
          <t>Anterolateral am Unterschenkel tastbar; die vier Sehnen sind auf dem Fußrücken zu den Zehen II–V sicher sichtbar</t>
        </is>
      </c>
    </row>
    <row r="44" ht="45" customHeight="1" s="30">
      <c r="A44" s="23" t="inlineStr">
        <is>
          <t>M. flexor digitorum longus</t>
        </is>
      </c>
      <c r="B44" s="23" t="inlineStr">
        <is>
          <t>Facies posterior tibiae (Mitte)</t>
        </is>
      </c>
      <c r="C44" s="23" t="inlineStr">
        <is>
          <t>Zehen II–V, distale Phalanx (Basis)</t>
        </is>
      </c>
      <c r="D44" s="23" t="inlineStr">
        <is>
          <t>Plantarflektiert den Fuß und supiniert; beugt die Zehen II–V in MTP-, PIP- und DIP-Gelenken; beim Gehen unterstützt er das Abstoßen und das Greifen der Zehenspitzen</t>
        </is>
      </c>
      <c r="E44" s="23" t="inlineStr">
        <is>
          <t>N. tibialis</t>
        </is>
      </c>
      <c r="F44" s="23" t="inlineStr">
        <is>
          <t>Tarsaltunnelsyndrom kann Druck auf die FDL-Sehne ausüben; chronische Überlastung führt zu Krallenzehen durch Dauerkontraktur der tiefen Zehenbeuger</t>
        </is>
      </c>
      <c r="G44" s="23" t="inlineStr">
        <is>
          <t>Die Sehne läuft hinter dem Innenknöchel medial der Tibialis-posterior-Sehne; im distalen Bereich auf der Fußsohle nicht sicher palpierbar</t>
        </is>
      </c>
    </row>
    <row r="45" ht="45" customHeight="1" s="30">
      <c r="A45" s="25" t="inlineStr">
        <is>
          <t>M. extensor hallucis longus</t>
        </is>
      </c>
      <c r="B45" s="25" t="inlineStr">
        <is>
          <t>Facies medialis fibulae (Mitte) und Membrana interossea</t>
        </is>
      </c>
      <c r="C45" s="25" t="inlineStr">
        <is>
          <t>Zeh I, dorsale distale Phalanx (Basis)</t>
        </is>
      </c>
      <c r="D45" s="25" t="inlineStr">
        <is>
          <t>Dorsalextendiert den Fuß; streckt die Großzehe in MTP- und IP-Gelenk; hebt das mediale Gewölbe bei der Fußhebung</t>
        </is>
      </c>
      <c r="E45" s="25" t="inlineStr">
        <is>
          <t>N. peroneus profundus</t>
        </is>
      </c>
      <c r="F45" s="25" t="inlineStr">
        <is>
          <t>Hallux-extensus-Deformität (Hyperextension Zehe I) kann nach N.-peroneus-profundus-Parese entstehen; Kompartmentsyndrom vordere Loge betrifft auch EHL</t>
        </is>
      </c>
      <c r="G45" s="25" t="inlineStr">
        <is>
          <t>Die Sehne verläuft auf dem Fußrücken zur Großzehe und ist bei Dorsalextension gut sichtbar</t>
        </is>
      </c>
    </row>
    <row r="46" ht="45" customHeight="1" s="30">
      <c r="A46" s="23" t="inlineStr">
        <is>
          <t>M. flexor hallucis longus</t>
        </is>
      </c>
      <c r="B46" s="23" t="inlineStr">
        <is>
          <t>Facies posterior fibulae (distal)</t>
        </is>
      </c>
      <c r="C46" s="23" t="inlineStr">
        <is>
          <t>Zeh I, plantare distale Phalanx (Basis)</t>
        </is>
      </c>
      <c r="D46" s="23" t="inlineStr">
        <is>
          <t>Plantarflektiert den Fuß und supiniert; beugt die Großzehe in MTP- und IP-Gelenk; wichtig beim Abstoßen in der Gangabwicklung</t>
        </is>
      </c>
      <c r="E46" s="23" t="inlineStr">
        <is>
          <t>N. tibialis</t>
        </is>
      </c>
      <c r="F46" s="23" t="inlineStr">
        <is>
          <t>Hallux-flexus-Deformität durch Verkürzung; Tarsaltunnelsyndrom kann FHL-Sehne betreffen; bei Ballett-Tänzerinnen typische Überlastungstendinitis hinter dem Innenknöchel</t>
        </is>
      </c>
      <c r="G46" s="23" t="inlineStr">
        <is>
          <t>Die Sehne tastet man tief hinter dem Innenknöchel lateral der FDL-Sehne; auf der Fußsohle ist sie nicht direkt palpierbar</t>
        </is>
      </c>
    </row>
    <row r="47" ht="45" customHeight="1" s="30">
      <c r="A47" s="25" t="inlineStr">
        <is>
          <t>M. extensor digitorum brevis</t>
        </is>
      </c>
      <c r="B47" s="25" t="inlineStr">
        <is>
          <t>Kalkaneus (dorsolateral) und Retinaculum extensorum inferius</t>
        </is>
      </c>
      <c r="C47" s="25" t="inlineStr">
        <is>
          <t>Zeh II–IV, Dorsalaponeurosen</t>
        </is>
      </c>
      <c r="D47" s="25" t="inlineStr">
        <is>
          <t>Streckt die Zehen II–IV in MTP- und IP-Gelenken; unterstützt den langen Zehenstrecker bei der Fußhebung</t>
        </is>
      </c>
      <c r="E47" s="25" t="inlineStr">
        <is>
          <t>N. peroneus profundus</t>
        </is>
      </c>
      <c r="F47" s="25" t="inlineStr">
        <is>
          <t>Eine deutliche Schwellung am Fußrücken kann fälschlicherweise für ein Ganglion gehalten werden, wenn der Muskelbauch des EDB besonders ausgeprägt ist</t>
        </is>
      </c>
      <c r="G47" s="25" t="inlineStr">
        <is>
          <t>Als flacher Muskelbauch lateral am Fußrücken tastbar; er liegt unmittelbar auf den Metatarsalknochen</t>
        </is>
      </c>
    </row>
    <row r="48" ht="45" customHeight="1" s="30">
      <c r="A48" s="23" t="inlineStr">
        <is>
          <t>M. flexor digitorum brevis</t>
        </is>
      </c>
      <c r="B48" s="23" t="inlineStr">
        <is>
          <t>Kalkaneus (Proc. medialis am Tuber) und Aponeurosis plantaris</t>
        </is>
      </c>
      <c r="C48" s="23" t="inlineStr">
        <is>
          <t>Zehen II–V, plantare mittlere Phalangen</t>
        </is>
      </c>
      <c r="D48" s="23" t="inlineStr">
        <is>
          <t>Beugt die Zehen II–V in MTP- und proximalen IP-Gelenken; unterstützt das Greifen und Abrollen des Fußes beim Gehen</t>
        </is>
      </c>
      <c r="E48" s="23" t="inlineStr">
        <is>
          <t>N. tibialis (N. plantaris medialis)</t>
        </is>
      </c>
      <c r="F48" s="23" t="inlineStr">
        <is>
          <t>Bei Plantarfasziitis ist der Ansatz am Kalkaneus (Proc. medialis) entzündet; Hammerzehen entstehen u.a. durch Imbalance zwischen FDB und den langen Zehenmuskeln</t>
        </is>
      </c>
      <c r="G48" s="23" t="inlineStr">
        <is>
          <t>Unter der Plantaraponeurose in der Fußsohle Mitte zu tasten; bei Druck auf die Fußsohle ist er als weicher Wulst spürbar</t>
        </is>
      </c>
    </row>
    <row r="49" ht="45" customHeight="1" s="30">
      <c r="A49" s="25" t="inlineStr">
        <is>
          <t>M. quadratus plantae</t>
        </is>
      </c>
      <c r="B49" s="25" t="inlineStr">
        <is>
          <t>Tuber calcanei (plantare Seite)</t>
        </is>
      </c>
      <c r="C49" s="25" t="inlineStr">
        <is>
          <t>M. flexor digitorum longus (Endsehne)</t>
        </is>
      </c>
      <c r="D49" s="25" t="inlineStr">
        <is>
          <t>Richtet den Zugvektor des M. flexor digitorum longus auf die Zehenlängsachse aus; unterstützt die Beugung der Zehen II–V</t>
        </is>
      </c>
      <c r="E49" s="25" t="inlineStr">
        <is>
          <t>N. tibialis (N. plantaris lateralis)</t>
        </is>
      </c>
      <c r="F49" s="25" t="inlineStr">
        <is>
          <t>Korrigiert den durch den Zug des M. flexor digitorum longus entstehenden schrägen Zugvektor; erst durch ihn erfolgt eine achsengerechte Zehenflexion</t>
        </is>
      </c>
      <c r="G49" s="25" t="inlineStr">
        <is>
          <t>Tief plantar gelegen und von außen nicht palpierbar</t>
        </is>
      </c>
    </row>
    <row r="50" ht="45" customHeight="1" s="30">
      <c r="A50" s="23" t="inlineStr">
        <is>
          <t>Mm. interossei plantares</t>
        </is>
      </c>
      <c r="B50" s="23" t="inlineStr">
        <is>
          <t>Ossa metatarsi III–V</t>
        </is>
      </c>
      <c r="C50" s="23" t="inlineStr">
        <is>
          <t>Zehen III–V, Basis der proximalen Phalangen</t>
        </is>
      </c>
      <c r="D50" s="23" t="inlineStr">
        <is>
          <t>Adduzieren die Zehen III–V zur zweiten Zehenachse hin; beugen die MTP-Gelenke</t>
        </is>
      </c>
      <c r="E50" s="23" t="inlineStr">
        <is>
          <t>N. tibialis (N. plantaris lateralis)</t>
        </is>
      </c>
      <c r="F50" s="23" t="inlineStr">
        <is>
          <t>Bei Spreizfuß und Krallenzehen durch Schwäche der intrinsischen Fußmuskeln; enger Schuhwerk begünstigt die Ausprägung</t>
        </is>
      </c>
      <c r="G50" s="23" t="inlineStr">
        <is>
          <t>Plantar zwischen den Mittelfußknochen verborgen; klinisch nicht direkt palpierbar</t>
        </is>
      </c>
    </row>
    <row r="51" ht="45" customHeight="1" s="30">
      <c r="A51" s="25" t="inlineStr">
        <is>
          <t>Mm. interossei dorsales</t>
        </is>
      </c>
      <c r="B51" s="25" t="inlineStr">
        <is>
          <t>Ossa metatarsi I–V (die einander zugewandten Seiten)</t>
        </is>
      </c>
      <c r="C51" s="25" t="inlineStr">
        <is>
          <t>Zehen II–IV, Basis der proximalen Phalangen (lateral und medial)</t>
        </is>
      </c>
      <c r="D51" s="25" t="inlineStr">
        <is>
          <t>Abduzieren die Zehen II–IV vom zweiten Strahl weg; beugen die MTP-Gelenke; Zehe II kann durch den ersten dorsalen Interosseus auch medialwärts abduziert werden</t>
        </is>
      </c>
      <c r="E51" s="25" t="inlineStr">
        <is>
          <t>N. tibialis (N. plantaris lateralis)</t>
        </is>
      </c>
      <c r="F51" s="25" t="inlineStr">
        <is>
          <t>Beim Spreizfuß sind die dorsalen Interossei durch den Druck in der Fußquere gestört; bei Krallenzehen überwiegen die extrinsischen Muskeln gegenüber den schwachen Interossei</t>
        </is>
      </c>
      <c r="G51" s="25" t="inlineStr">
        <is>
          <t>Auf dem Fußrücken zwischen den Metatarsalköpfen leicht zu tasten; besonders zwischen 1./2. und 2./3. Metatarsale</t>
        </is>
      </c>
    </row>
    <row r="52" ht="45" customHeight="1" s="30">
      <c r="A52" s="23" t="inlineStr">
        <is>
          <t>Mm. lumbricales</t>
        </is>
      </c>
      <c r="B52" s="23" t="inlineStr">
        <is>
          <t>Sehnen des M. flexor digitorum longus</t>
        </is>
      </c>
      <c r="C52" s="23" t="inlineStr">
        <is>
          <t>Zehen II–V, Basen der proximalen Phalangen (medial)</t>
        </is>
      </c>
      <c r="D52" s="23" t="inlineStr">
        <is>
          <t>Beugen die MTP-Gelenke II–V; die Mm. lumbricales III–V adduzieren ihre Zehen zur zweiten Achse hin; Zehe II kann abgespreizt werden</t>
        </is>
      </c>
      <c r="E52" s="23" t="inlineStr">
        <is>
          <t>N. tibialis (N. plantaris medialis und lateralis)</t>
        </is>
      </c>
      <c r="F52" s="23" t="inlineStr">
        <is>
          <t>Beim Spreizfuß und bei Krallenzehen geschwächt; Ausfälle der Lumbrikalfunktion begünstigen Hyperextension in MTP und Flexion in IP (Krallenzehe)</t>
        </is>
      </c>
      <c r="G52" s="23" t="inlineStr">
        <is>
          <t>In der Fußsohle tief gelegen, nicht von außen palpierbar</t>
        </is>
      </c>
    </row>
    <row r="53" ht="45" customHeight="1" s="30">
      <c r="A53" s="25" t="inlineStr">
        <is>
          <t>M. extensor hallucis brevis</t>
        </is>
      </c>
      <c r="B53" s="25" t="inlineStr">
        <is>
          <t>Dorsalfläche des Kalkaneus (zusammen mit M. extensor digitorum brevis)</t>
        </is>
      </c>
      <c r="C53" s="25" t="inlineStr">
        <is>
          <t>Zeh I, proximale Phalanx</t>
        </is>
      </c>
      <c r="D53" s="25" t="inlineStr">
        <is>
          <t>Streckt die Großzehe im MTP-Gelenk; unterstützt den M. extensor hallucis longus bei der Großzehenstreckung</t>
        </is>
      </c>
      <c r="E53" s="25" t="inlineStr">
        <is>
          <t>N. peroneus profundus</t>
        </is>
      </c>
      <c r="F53" s="25" t="inlineStr">
        <is>
          <t>Teil der EDB-Gruppe; kann bei pathologischer Fußrückenschwellung klinisch prominent werden; sein Muskelbauch ist manchmal vergrößert und mit einem Tumor verwechselt worden</t>
        </is>
      </c>
      <c r="G53" s="25" t="inlineStr">
        <is>
          <t>Am medialen Fußrücken tastbar; liegt zusammen mit dem M. extensor digitorum brevis auf dem Kalkaneus</t>
        </is>
      </c>
    </row>
    <row r="54" ht="45" customHeight="1" s="30">
      <c r="A54" s="23" t="inlineStr">
        <is>
          <t>M. flexor hallucis brevis</t>
        </is>
      </c>
      <c r="B54" s="23" t="inlineStr">
        <is>
          <t>Ossa cuneiformia II et III und Os cuboideum</t>
        </is>
      </c>
      <c r="C54" s="24" t="inlineStr">
        <is>
          <t>Mediale und laterale Basis der proximalen Phalanx des I. Zehs
Mediales und laterales Sesambein</t>
        </is>
      </c>
      <c r="D54" s="23" t="inlineStr">
        <is>
          <t>Beugt die Großzehe im MTP-Gelenk; unterstützt Abduktion und Adduktion; hält die Sesambeine in ihrer Gleitrinne unter dem ersten Metatarsalkopf</t>
        </is>
      </c>
      <c r="E54" s="23" t="inlineStr">
        <is>
          <t>N. tibialis (N. plantaris medialis und lateralis)</t>
        </is>
      </c>
      <c r="F54" s="23" t="inlineStr">
        <is>
          <t>Bei Hallux valgus entgleist das Sesambein aus seiner Führungsrinne; Sesambein-Frakturen entstehen durch direkte Belastung oder Ermüdung</t>
        </is>
      </c>
      <c r="G54" s="23" t="inlineStr">
        <is>
          <t>Unter dem Großzehengrundgelenk plantar tastbar; bei Druck auf den Metatarsalkopf I ist er als weicher Wulst spürbar</t>
        </is>
      </c>
    </row>
    <row r="55" ht="45" customHeight="1" s="30">
      <c r="A55" s="25" t="inlineStr">
        <is>
          <t>M. abductor hallucis</t>
        </is>
      </c>
      <c r="B55" s="25" t="inlineStr">
        <is>
          <t>Proc. medialis des Tuber calcanei, Retinaculum flexorum und Aponeurosis plantaris</t>
        </is>
      </c>
      <c r="C55" s="25" t="inlineStr">
        <is>
          <t>Basis der proximalen Phalanx des I. Zehs und mediales Sesambein</t>
        </is>
      </c>
      <c r="D55" s="25" t="inlineStr">
        <is>
          <t>Abduziert die Großzehe vom zweiten Strahl weg; beugt sie im MTP-Gelenk; unterstützt das mediale Längsgewölbe</t>
        </is>
      </c>
      <c r="E55" s="25" t="inlineStr">
        <is>
          <t>N. tibialis (N. plantaris medialis)</t>
        </is>
      </c>
      <c r="F55" s="25" t="inlineStr">
        <is>
          <t>Beim Hallux valgus ist die Abduktorkraft stark geschwächt; bei Plantarfasziitis ist der Ursprung am Kalkaneus mitbetroffen</t>
        </is>
      </c>
      <c r="G55" s="25" t="inlineStr">
        <is>
          <t>Am medialen Fußrand als länglicher Muskelwulst tastbar; bei Großzehenabduktion gegen Widerstand deutlich spürbar</t>
        </is>
      </c>
    </row>
    <row r="56" ht="45" customHeight="1" s="30">
      <c r="A56" s="23" t="inlineStr">
        <is>
          <t>M. adductor hallucis</t>
        </is>
      </c>
      <c r="B56" s="24" t="inlineStr">
        <is>
          <t>Caput obliquum: Os metatarsale II–V (Basis); Os cuboideum, Os cuneiforme III und Lig. plantare longum
Caput transversum: Kapsel der Art. MTP II–V und Lig. metatarseum transversum profundum</t>
        </is>
      </c>
      <c r="C56" s="23" t="inlineStr">
        <is>
          <t>Basis der proximalen Phalanx des I. Zehs und laterales Sesambein</t>
        </is>
      </c>
      <c r="D56" s="23" t="inlineStr">
        <is>
          <t>Adduziert die Großzehe zum zweiten Strahl; beugt das MTP-Gelenk; verspannt das Quergewölbe (Caput transversum)</t>
        </is>
      </c>
      <c r="E56" s="23" t="inlineStr">
        <is>
          <t>N. tibialis (N. plantaris lateralis)</t>
        </is>
      </c>
      <c r="F56" s="23" t="inlineStr">
        <is>
          <t>Beim Hallux valgus gilt überaktive Adduktorenaktivität als mitverursachend für die mediale Deviation des ersten Strahls; enges Schuhwerk begünstigt dies</t>
        </is>
      </c>
      <c r="G56" s="23" t="inlineStr">
        <is>
          <t>Liegt zu tief in der Fußsohle, um direkt palpierbar zu sein</t>
        </is>
      </c>
    </row>
    <row r="57" ht="45" customHeight="1" s="30">
      <c r="A57" s="25" t="inlineStr">
        <is>
          <t>M. flexor digiti minimi brevis</t>
        </is>
      </c>
      <c r="B57" s="25" t="inlineStr">
        <is>
          <t>Os metatarsale V (Basis) und Lig. plantare longum</t>
        </is>
      </c>
      <c r="C57" s="25" t="inlineStr">
        <is>
          <t>Zeh V, Basis der proximalen Phalanx (plantar)</t>
        </is>
      </c>
      <c r="D57" s="25" t="inlineStr">
        <is>
          <t>Beugt die Kleinzehe im MTP-Gelenk V; unterstützt die Stabilisierung des lateralen Fußrandes</t>
        </is>
      </c>
      <c r="E57" s="25" t="inlineStr">
        <is>
          <t>N. tibialis (N. plantaris lateralis)</t>
        </is>
      </c>
      <c r="F57" s="25" t="inlineStr">
        <is>
          <t>Bei Kleinzehenschmerzen und Spreizfuß kann dieser Muskel durch Druck des Schuhwerks gereizt sein; selten isoliert klinisch beurteilbar</t>
        </is>
      </c>
      <c r="G57" s="25" t="inlineStr">
        <is>
          <t>Lateral-plantar an der Fußsohle tastbar; bei Kleinzehenbeugung gegen Widerstand spürbar</t>
        </is>
      </c>
    </row>
    <row r="58" ht="45" customHeight="1" s="30">
      <c r="A58" t="inlineStr">
        <is>
          <t>M. opponens digiti minimi</t>
        </is>
      </c>
      <c r="B58" t="inlineStr">
        <is>
          <t>Lig. plantare longum, Basis des Os metatarsale V und Sehnenscheide des M. fibularis longus</t>
        </is>
      </c>
      <c r="C58" t="inlineStr">
        <is>
          <t>Lateraler Rand des Os metatarsale V</t>
        </is>
      </c>
      <c r="D58" t="inlineStr">
        <is>
          <t>Unterstützt Flexion und Abduktion der Kleinzehe und stabilisiert das laterale Längsgewölbe des Fußes</t>
        </is>
      </c>
      <c r="E58" t="inlineStr">
        <is>
          <t>N. tibialis (N. plantaris lateralis), S2, S3</t>
        </is>
      </c>
      <c r="F58" t="inlineStr">
        <is>
          <t>Wird oft nur als tiefer Anteil des M. flexor digiti minimi brevis beschrieben und daher in Lehrwerken nicht immer separat aufgeführt; funktionell trägt er zur Stabilisierung des lateralen Fußrandes bei</t>
        </is>
      </c>
    </row>
    <row r="59">
      <c r="A59" s="23" t="inlineStr">
        <is>
          <t>M. abductor digiti minimi</t>
        </is>
      </c>
      <c r="B59" s="23" t="inlineStr">
        <is>
          <t>Tuber calcanei (Proc. lateralis) und Lig. plantare longum</t>
        </is>
      </c>
      <c r="C59" s="23" t="inlineStr">
        <is>
          <t>Zeh V, Tuberositas ossis metatarsalis V und proximale Phalanx (laterale Seite)</t>
        </is>
      </c>
      <c r="D59" s="23" t="inlineStr">
        <is>
          <t>Abduziert und beugt die Kleinzehe im MTP-Gelenk; stabilisiert den lateralen Fußrand</t>
        </is>
      </c>
      <c r="E59" s="23" t="inlineStr">
        <is>
          <t>N. tibialis (N. plantaris lateralis)</t>
        </is>
      </c>
      <c r="F59" s="23" t="inlineStr">
        <is>
          <t>Bursitis am Tuber calcanei lateral und der sog. Tailor's bunion (Prominenz des fünften Mittelfußköpfchens) gehen häufig mit Reizung des Abductor digiti minimi einher</t>
        </is>
      </c>
      <c r="G59" s="23" t="inlineStr">
        <is>
          <t>Am lateralen Fußrand deutlich tastbar; der Muskelbauch ist von Ferse bis Kleinzehenbasis als prominenter Wulst zu verfolgen</t>
        </is>
      </c>
    </row>
  </sheetData>
  <mergeCells count="4">
    <mergeCell ref="A24:G24"/>
    <mergeCell ref="A1:G1"/>
    <mergeCell ref="A35:G35"/>
    <mergeCell ref="A4:G4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2026-04-01T07:15:32Z</dcterms:created>
  <dcterms:modified xmlns:dcterms="http://purl.org/dc/terms/" xmlns:xsi="http://www.w3.org/2001/XMLSchema-instance" xsi:type="dcterms:W3CDTF">2026-04-07T19:16:54+00:00Z</dcterms:modified>
  <cp:lastModifiedBy>Anatolij Herter</cp:lastModifiedBy>
</cp:coreProperties>
</file>